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shboard" sheetId="1" state="visible" r:id="rId1"/>
    <sheet name="Jorge Gaviria" sheetId="2" state="visible" r:id="rId2"/>
    <sheet name="Caro Rios" sheetId="3" state="visible" r:id="rId3"/>
    <sheet name="Andres Castro" sheetId="4" state="visible" r:id="rId4"/>
    <sheet name="Wilson Alvarez" sheetId="5" state="visible" r:id="rId5"/>
    <sheet name="Formato Credito Natiller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\$\ #,##0"/>
    <numFmt numFmtId="166" formatCode="0.0%"/>
    <numFmt numFmtId="167" formatCode="DD/MM/YYYY"/>
    <numFmt numFmtId="168" formatCode="$ #,##0"/>
  </numFmts>
  <fonts count="36">
    <font>
      <name val="Calibri"/>
      <family val="2"/>
      <color theme="1"/>
      <sz val="11"/>
      <scheme val="minor"/>
    </font>
    <font>
      <name val="Segoe UI"/>
      <b val="1"/>
      <color rgb="FFFFFFFF"/>
      <sz val="15"/>
    </font>
    <font>
      <name val="Segoe UI"/>
      <i val="1"/>
      <color rgb="FFE2E8F0"/>
      <sz val="10"/>
    </font>
    <font>
      <name val="Segoe UI"/>
      <b val="1"/>
      <color rgb="FF475569"/>
      <sz val="8"/>
    </font>
    <font>
      <name val="Segoe UI"/>
      <b val="1"/>
      <color rgb="FF1B365D"/>
      <sz val="12"/>
    </font>
    <font>
      <name val="Segoe UI"/>
      <b val="1"/>
      <color rgb="FFB71C1C"/>
      <sz val="12"/>
    </font>
    <font>
      <name val="Segoe UI"/>
      <b val="1"/>
      <color rgb="FFC25E00"/>
      <sz val="12"/>
    </font>
    <font>
      <name val="Segoe UI"/>
      <b val="1"/>
      <color rgb="FF1B5E20"/>
      <sz val="12"/>
    </font>
    <font>
      <name val="Segoe UI"/>
      <b val="1"/>
      <color rgb="FF0E4955"/>
      <sz val="12"/>
    </font>
    <font>
      <name val="Segoe UI"/>
      <b val="1"/>
      <color rgb="FF1B365D"/>
      <sz val="11"/>
    </font>
    <font>
      <name val="Segoe UI"/>
      <b val="1"/>
      <color rgb="FF1E5F74"/>
      <sz val="11"/>
    </font>
    <font>
      <name val="Segoe UI"/>
      <b val="1"/>
      <color rgb="FFFFFFFF"/>
      <sz val="9"/>
    </font>
    <font>
      <name val="Segoe UI"/>
      <b val="1"/>
      <color rgb="FF1B365D"/>
      <sz val="11"/>
    </font>
    <font>
      <name val="Segoe UI"/>
      <b val="1"/>
      <sz val="9"/>
    </font>
    <font>
      <name val="Segoe UI"/>
      <b val="1"/>
      <color rgb="FFFFFFFF"/>
      <sz val="10"/>
    </font>
    <font>
      <name val="Segoe UI"/>
      <b val="1"/>
      <sz val="11"/>
    </font>
    <font>
      <name val="Segoe UI"/>
      <b val="1"/>
      <color rgb="FF1E5F74"/>
      <sz val="11"/>
    </font>
    <font>
      <name val="Segoe UI"/>
      <b val="1"/>
      <color rgb="FF1B5E20"/>
      <sz val="10"/>
    </font>
    <font>
      <name val="Segoe UI"/>
      <color rgb="FF334155"/>
      <sz val="9"/>
    </font>
    <font>
      <name val="Segoe UI"/>
      <b val="1"/>
      <color rgb="00FFFFFF"/>
      <sz val="15"/>
    </font>
    <font>
      <name val="Segoe UI"/>
      <i val="1"/>
      <color rgb="00E2E8F0"/>
      <sz val="10"/>
    </font>
    <font>
      <name val="Segoe UI"/>
      <b val="1"/>
      <color rgb="00475569"/>
      <sz val="8"/>
    </font>
    <font>
      <name val="Segoe UI"/>
      <b val="1"/>
      <color rgb="001B365D"/>
      <sz val="13"/>
    </font>
    <font>
      <name val="Segoe UI"/>
      <b val="1"/>
      <color rgb="00B71C1C"/>
      <sz val="13"/>
    </font>
    <font>
      <name val="Segoe UI"/>
      <b val="1"/>
      <color rgb="00C25E00"/>
      <sz val="13"/>
    </font>
    <font>
      <name val="Segoe UI"/>
      <b val="1"/>
      <color rgb="001B5E20"/>
      <sz val="13"/>
    </font>
    <font>
      <name val="Segoe UI"/>
      <b val="1"/>
      <color rgb="000E4955"/>
      <sz val="13"/>
    </font>
    <font>
      <name val="Segoe UI"/>
      <b val="1"/>
      <color rgb="001B365D"/>
      <sz val="11"/>
    </font>
    <font>
      <name val="Segoe UI"/>
      <b val="1"/>
      <color rgb="00FFFFFF"/>
      <sz val="9"/>
    </font>
    <font>
      <name val="Segoe UI"/>
      <b val="1"/>
      <color rgb="000D6EFD"/>
      <u val="single"/>
    </font>
    <font>
      <name val="Segoe UI"/>
      <b val="1"/>
      <color rgb="001B365D"/>
    </font>
    <font>
      <name val="Segoe UI"/>
      <b val="1"/>
      <color rgb="00FFFFFF"/>
      <sz val="10"/>
    </font>
    <font>
      <name val="Segoe UI"/>
      <b val="1"/>
      <color rgb="001B365D"/>
      <sz val="12"/>
    </font>
    <font>
      <name val="Segoe UI"/>
      <b val="1"/>
      <color rgb="001B5E20"/>
      <sz val="10"/>
    </font>
    <font>
      <name val="Segoe UI"/>
      <color rgb="00334155"/>
      <sz val="9"/>
    </font>
    <font>
      <name val="Segoe UI"/>
      <b val="1"/>
      <color rgb="00FFFFFF"/>
      <sz val="10"/>
      <u val="single"/>
    </font>
  </fonts>
  <fills count="24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4436E"/>
        <bgColor rgb="FF24436E"/>
      </patternFill>
    </fill>
    <fill>
      <patternFill patternType="solid">
        <fgColor rgb="FFEDF4FA"/>
        <bgColor rgb="FFEDF4FA"/>
      </patternFill>
    </fill>
    <fill>
      <patternFill patternType="solid">
        <fgColor rgb="FFFDEAEA"/>
        <bgColor rgb="FFFDEAEA"/>
      </patternFill>
    </fill>
    <fill>
      <patternFill patternType="solid">
        <fgColor rgb="FFFFF4E6"/>
        <bgColor rgb="FFFFF4E6"/>
      </patternFill>
    </fill>
    <fill>
      <patternFill patternType="solid">
        <fgColor rgb="FFEAF5EA"/>
        <bgColor rgb="FFEAF5EA"/>
      </patternFill>
    </fill>
    <fill>
      <patternFill patternType="solid">
        <fgColor rgb="FFE6F4F6"/>
        <bgColor rgb="FFE6F4F6"/>
      </patternFill>
    </fill>
    <fill>
      <patternFill patternType="solid">
        <fgColor rgb="FFE2E8F0"/>
        <bgColor rgb="FFE2E8F0"/>
      </patternFill>
    </fill>
    <fill>
      <patternFill patternType="solid">
        <fgColor rgb="FF234165"/>
        <bgColor rgb="FF234165"/>
      </patternFill>
    </fill>
    <fill>
      <patternFill patternType="solid">
        <fgColor rgb="FF0E7490"/>
        <bgColor rgb="FF0E7490"/>
      </patternFill>
    </fill>
    <fill>
      <patternFill patternType="solid">
        <fgColor rgb="FF1E5F74"/>
        <bgColor rgb="FF1E5F74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001B365D"/>
        <bgColor rgb="001B365D"/>
      </patternFill>
    </fill>
    <fill>
      <patternFill patternType="solid">
        <fgColor rgb="0024436E"/>
        <bgColor rgb="0024436E"/>
      </patternFill>
    </fill>
    <fill>
      <patternFill patternType="solid">
        <fgColor rgb="00EDF4FA"/>
        <bgColor rgb="00EDF4FA"/>
      </patternFill>
    </fill>
    <fill>
      <patternFill patternType="solid">
        <fgColor rgb="00FDEAEA"/>
        <bgColor rgb="00FDEAEA"/>
      </patternFill>
    </fill>
    <fill>
      <patternFill patternType="solid">
        <fgColor rgb="00FFF4E6"/>
        <bgColor rgb="00FFF4E6"/>
      </patternFill>
    </fill>
    <fill>
      <patternFill patternType="solid">
        <fgColor rgb="00EAF5EA"/>
        <bgColor rgb="00EAF5EA"/>
      </patternFill>
    </fill>
    <fill>
      <patternFill patternType="solid">
        <fgColor rgb="00E6F4F6"/>
        <bgColor rgb="00E6F4F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B365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5F7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/>
      <right/>
      <top style="thin">
        <color rgb="FFCBD5E1"/>
      </top>
      <bottom style="double">
        <color rgb="FF1E5F74"/>
      </bottom>
      <diagonal/>
    </border>
    <border>
      <left/>
      <right style="thin">
        <color rgb="FFCBD5E1"/>
      </right>
      <top style="thin">
        <color rgb="FFCBD5E1"/>
      </top>
      <bottom style="double">
        <color rgb="FF1E5F74"/>
      </bottom>
      <diagonal/>
    </border>
    <border>
      <left/>
      <right/>
      <top style="thin">
        <color rgb="FFCBD5E1"/>
      </top>
      <bottom style="double">
        <color rgb="FF1B365D"/>
      </bottom>
      <diagonal/>
    </border>
    <border>
      <left/>
      <right style="thin">
        <color rgb="FFCBD5E1"/>
      </right>
      <top style="thin">
        <color rgb="FFCBD5E1"/>
      </top>
      <bottom style="double">
        <color rgb="FF1B365D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B365D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double">
        <color rgb="001B365D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0" fillId="9" borderId="0" pivotButton="0" quotePrefix="0" xfId="0"/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left" vertical="center"/>
    </xf>
    <xf numFmtId="164" fontId="0" fillId="13" borderId="1" applyAlignment="1" pivotButton="0" quotePrefix="0" xfId="0">
      <alignment horizontal="center" vertical="center"/>
    </xf>
    <xf numFmtId="3" fontId="0" fillId="13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right" vertical="center"/>
    </xf>
    <xf numFmtId="166" fontId="0" fillId="13" borderId="1" applyAlignment="1" pivotButton="0" quotePrefix="0" xfId="0">
      <alignment horizontal="center" vertical="center"/>
    </xf>
    <xf numFmtId="165" fontId="12" fillId="13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165" fontId="16" fillId="13" borderId="1" applyAlignment="1" pivotButton="0" quotePrefix="0" xfId="0">
      <alignment horizontal="right" vertical="center"/>
    </xf>
    <xf numFmtId="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center"/>
    </xf>
    <xf numFmtId="164" fontId="0" fillId="14" borderId="1" applyAlignment="1" pivotButton="0" quotePrefix="0" xfId="0">
      <alignment horizontal="center" vertical="center"/>
    </xf>
    <xf numFmtId="3" fontId="0" fillId="14" borderId="1" applyAlignment="1" pivotButton="0" quotePrefix="0" xfId="0">
      <alignment horizontal="center" vertical="center"/>
    </xf>
    <xf numFmtId="165" fontId="0" fillId="14" borderId="1" applyAlignment="1" pivotButton="0" quotePrefix="0" xfId="0">
      <alignment horizontal="right" vertical="center"/>
    </xf>
    <xf numFmtId="166" fontId="0" fillId="14" borderId="1" applyAlignment="1" pivotButton="0" quotePrefix="0" xfId="0">
      <alignment horizontal="center" vertical="center"/>
    </xf>
    <xf numFmtId="165" fontId="12" fillId="14" borderId="1" applyAlignment="1" pivotButton="0" quotePrefix="0" xfId="0">
      <alignment horizontal="right" vertical="center"/>
    </xf>
    <xf numFmtId="0" fontId="13" fillId="14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165" fontId="16" fillId="14" borderId="1" applyAlignment="1" pivotButton="0" quotePrefix="0" xfId="0">
      <alignment horizontal="right" vertical="center"/>
    </xf>
    <xf numFmtId="165" fontId="14" fillId="2" borderId="2" applyAlignment="1" pivotButton="0" quotePrefix="0" xfId="0">
      <alignment horizontal="right" vertical="center"/>
    </xf>
    <xf numFmtId="0" fontId="0" fillId="2" borderId="2" pivotButton="0" quotePrefix="0" xfId="0"/>
    <xf numFmtId="165" fontId="14" fillId="12" borderId="3" applyAlignment="1" pivotButton="0" quotePrefix="0" xfId="0">
      <alignment horizontal="right" vertical="center"/>
    </xf>
    <xf numFmtId="0" fontId="0" fillId="12" borderId="3" pivotButton="0" quotePrefix="0" xfId="0"/>
    <xf numFmtId="0" fontId="17" fillId="0" borderId="0" applyAlignment="1" pivotButton="0" quotePrefix="0" xfId="0">
      <alignment horizontal="center" vertical="center"/>
    </xf>
    <xf numFmtId="0" fontId="0" fillId="13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4" fillId="12" borderId="3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165" fontId="8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9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13" borderId="4" applyAlignment="1" pivotButton="0" quotePrefix="0" xfId="0">
      <alignment horizontal="center" vertical="center" wrapText="1"/>
    </xf>
    <xf numFmtId="0" fontId="0" fillId="13" borderId="6" applyAlignment="1" pivotButton="0" quotePrefix="0" xfId="0">
      <alignment horizontal="center" vertical="center" wrapText="1"/>
    </xf>
    <xf numFmtId="0" fontId="0" fillId="13" borderId="5" applyAlignment="1" pivotButton="0" quotePrefix="0" xfId="0">
      <alignment horizontal="center" vertical="center" wrapText="1"/>
    </xf>
    <xf numFmtId="0" fontId="19" fillId="15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  <xf numFmtId="0" fontId="21" fillId="17" borderId="16" applyAlignment="1" pivotButton="0" quotePrefix="0" xfId="0">
      <alignment horizontal="center" vertical="center"/>
    </xf>
    <xf numFmtId="0" fontId="0" fillId="0" borderId="16" pivotButton="0" quotePrefix="0" xfId="0"/>
    <xf numFmtId="0" fontId="21" fillId="18" borderId="16" applyAlignment="1" pivotButton="0" quotePrefix="0" xfId="0">
      <alignment horizontal="center" vertical="center"/>
    </xf>
    <xf numFmtId="0" fontId="21" fillId="19" borderId="16" applyAlignment="1" pivotButton="0" quotePrefix="0" xfId="0">
      <alignment horizontal="center" vertical="center"/>
    </xf>
    <xf numFmtId="0" fontId="21" fillId="20" borderId="16" applyAlignment="1" pivotButton="0" quotePrefix="0" xfId="0">
      <alignment horizontal="center" vertical="center"/>
    </xf>
    <xf numFmtId="0" fontId="21" fillId="21" borderId="16" applyAlignment="1" pivotButton="0" quotePrefix="0" xfId="0">
      <alignment horizontal="center" vertical="center"/>
    </xf>
    <xf numFmtId="167" fontId="22" fillId="17" borderId="16" applyAlignment="1" pivotButton="0" quotePrefix="0" xfId="0">
      <alignment horizontal="center" vertical="center"/>
    </xf>
    <xf numFmtId="168" fontId="22" fillId="17" borderId="16" applyAlignment="1" pivotButton="0" quotePrefix="0" xfId="0">
      <alignment horizontal="center" vertical="center"/>
    </xf>
    <xf numFmtId="168" fontId="23" fillId="18" borderId="16" applyAlignment="1" pivotButton="0" quotePrefix="0" xfId="0">
      <alignment horizontal="center" vertical="center"/>
    </xf>
    <xf numFmtId="168" fontId="24" fillId="19" borderId="16" applyAlignment="1" pivotButton="0" quotePrefix="0" xfId="0">
      <alignment horizontal="center" vertical="center"/>
    </xf>
    <xf numFmtId="168" fontId="25" fillId="20" borderId="16" applyAlignment="1" pivotButton="0" quotePrefix="0" xfId="0">
      <alignment horizontal="center" vertical="center"/>
    </xf>
    <xf numFmtId="168" fontId="26" fillId="21" borderId="16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0" fontId="28" fillId="15" borderId="16" applyAlignment="1" pivotButton="0" quotePrefix="0" xfId="0">
      <alignment horizontal="center" vertical="center" wrapText="1"/>
    </xf>
    <xf numFmtId="0" fontId="0" fillId="22" borderId="16" applyAlignment="1" pivotButton="0" quotePrefix="0" xfId="0">
      <alignment horizontal="center" vertical="center"/>
    </xf>
    <xf numFmtId="0" fontId="29" fillId="22" borderId="16" applyAlignment="1" pivotButton="0" quotePrefix="0" xfId="0">
      <alignment horizontal="left" vertical="center"/>
    </xf>
    <xf numFmtId="168" fontId="0" fillId="22" borderId="16" applyAlignment="1" pivotButton="0" quotePrefix="0" xfId="0">
      <alignment horizontal="right" vertical="center"/>
    </xf>
    <xf numFmtId="168" fontId="30" fillId="22" borderId="16" applyAlignment="1" pivotButton="0" quotePrefix="0" xfId="0">
      <alignment horizontal="right" vertical="center"/>
    </xf>
    <xf numFmtId="0" fontId="13" fillId="22" borderId="16" applyAlignment="1" pivotButton="0" quotePrefix="0" xfId="0">
      <alignment horizontal="center" vertical="center"/>
    </xf>
    <xf numFmtId="0" fontId="29" fillId="22" borderId="16" applyAlignment="1" pivotButton="0" quotePrefix="0" xfId="0">
      <alignment horizontal="center" vertical="center"/>
    </xf>
    <xf numFmtId="0" fontId="0" fillId="23" borderId="16" applyAlignment="1" pivotButton="0" quotePrefix="0" xfId="0">
      <alignment horizontal="center" vertical="center"/>
    </xf>
    <xf numFmtId="0" fontId="29" fillId="23" borderId="16" applyAlignment="1" pivotButton="0" quotePrefix="0" xfId="0">
      <alignment horizontal="left" vertical="center"/>
    </xf>
    <xf numFmtId="168" fontId="0" fillId="23" borderId="16" applyAlignment="1" pivotButton="0" quotePrefix="0" xfId="0">
      <alignment horizontal="right" vertical="center"/>
    </xf>
    <xf numFmtId="168" fontId="30" fillId="23" borderId="16" applyAlignment="1" pivotButton="0" quotePrefix="0" xfId="0">
      <alignment horizontal="right" vertical="center"/>
    </xf>
    <xf numFmtId="0" fontId="13" fillId="23" borderId="16" applyAlignment="1" pivotButton="0" quotePrefix="0" xfId="0">
      <alignment horizontal="center" vertical="center"/>
    </xf>
    <xf numFmtId="0" fontId="29" fillId="23" borderId="16" applyAlignment="1" pivotButton="0" quotePrefix="0" xfId="0">
      <alignment horizontal="center" vertical="center"/>
    </xf>
    <xf numFmtId="0" fontId="0" fillId="22" borderId="16" pivotButton="0" quotePrefix="0" xfId="0"/>
    <xf numFmtId="168" fontId="0" fillId="22" borderId="16" pivotButton="0" quotePrefix="0" xfId="0"/>
    <xf numFmtId="0" fontId="0" fillId="23" borderId="16" pivotButton="0" quotePrefix="0" xfId="0"/>
    <xf numFmtId="168" fontId="0" fillId="23" borderId="16" pivotButton="0" quotePrefix="0" xfId="0"/>
    <xf numFmtId="0" fontId="31" fillId="15" borderId="17" applyAlignment="1" pivotButton="0" quotePrefix="0" xfId="0">
      <alignment horizontal="center" vertical="center"/>
    </xf>
    <xf numFmtId="0" fontId="0" fillId="0" borderId="17" pivotButton="0" quotePrefix="0" xfId="0"/>
    <xf numFmtId="168" fontId="31" fillId="15" borderId="17" applyAlignment="1" pivotButton="0" quotePrefix="0" xfId="0">
      <alignment horizontal="right" vertical="center"/>
    </xf>
    <xf numFmtId="0" fontId="0" fillId="15" borderId="17" pivotButton="0" quotePrefix="0" xfId="0"/>
    <xf numFmtId="0" fontId="32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9" pivotButton="0" quotePrefix="0" xfId="0"/>
    <xf numFmtId="0" fontId="0" fillId="1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1" pivotButton="0" quotePrefix="0" xfId="0"/>
    <xf numFmtId="0" fontId="35" fillId="16" borderId="0" applyAlignment="1" pivotButton="0" quotePrefix="0" xfId="0">
      <alignment horizontal="center" vertical="center"/>
    </xf>
  </cellXfs>
  <cellStyles count="1">
    <cellStyle name="Normal" xfId="0" builtinId="0"/>
  </cellStyles>
  <dxfs count="17">
    <dxf>
      <font>
        <b val="1"/>
        <color rgb="FF084298"/>
      </font>
      <fill>
        <patternFill patternType="solid">
          <fgColor rgb="FFCFE2FF"/>
          <bgColor rgb="FFCFE2FF"/>
        </patternFill>
      </fill>
    </dxf>
    <dxf>
      <font>
        <b val="1"/>
        <color rgb="FF664D03"/>
      </font>
      <fill>
        <patternFill patternType="solid">
          <fgColor rgb="FFFFF3CD"/>
          <bgColor rgb="FFFFF3CD"/>
        </patternFill>
      </fill>
    </dxf>
    <dxf>
      <font>
        <b val="1"/>
        <color rgb="FF0F5132"/>
      </font>
      <fill>
        <patternFill patternType="solid">
          <fgColor rgb="FFD1E7DD"/>
          <bgColor rgb="FFD1E7DD"/>
        </patternFill>
      </fill>
    </dxf>
    <dxf>
      <font>
        <b val="1"/>
        <color rgb="FF084298"/>
      </font>
      <fill>
        <patternFill patternType="solid">
          <fgColor rgb="FFCFE2FF"/>
          <bgColor rgb="FFCFE2FF"/>
        </patternFill>
      </fill>
    </dxf>
    <dxf>
      <font>
        <b val="1"/>
        <color rgb="FF664D03"/>
      </font>
      <fill>
        <patternFill patternType="solid">
          <fgColor rgb="FFFFF3CD"/>
          <bgColor rgb="FFFFF3CD"/>
        </patternFill>
      </fill>
    </dxf>
    <dxf>
      <font>
        <b val="1"/>
        <color rgb="FF0F5132"/>
      </font>
      <fill>
        <patternFill patternType="solid">
          <fgColor rgb="FFD1E7DD"/>
          <bgColor rgb="FFD1E7DD"/>
        </patternFill>
      </fill>
    </dxf>
    <dxf>
      <font>
        <b val="1"/>
        <color rgb="FF084298"/>
      </font>
      <fill>
        <patternFill patternType="solid">
          <fgColor rgb="FFCFE2FF"/>
          <bgColor rgb="FFCFE2FF"/>
        </patternFill>
      </fill>
    </dxf>
    <dxf>
      <font>
        <b val="1"/>
        <color rgb="FF664D03"/>
      </font>
      <fill>
        <patternFill patternType="solid">
          <fgColor rgb="FFFFF3CD"/>
          <bgColor rgb="FFFFF3CD"/>
        </patternFill>
      </fill>
    </dxf>
    <dxf>
      <font>
        <b val="1"/>
        <color rgb="FF0F5132"/>
      </font>
      <fill>
        <patternFill patternType="solid">
          <fgColor rgb="FFD1E7DD"/>
          <bgColor rgb="FFD1E7DD"/>
        </patternFill>
      </fill>
    </dxf>
    <dxf>
      <font>
        <b val="1"/>
        <color rgb="FF084298"/>
      </font>
      <fill>
        <patternFill patternType="solid">
          <fgColor rgb="FFCFE2FF"/>
          <bgColor rgb="FFCFE2FF"/>
        </patternFill>
      </fill>
    </dxf>
    <dxf>
      <font>
        <b val="1"/>
        <color rgb="FF664D03"/>
      </font>
      <fill>
        <patternFill patternType="solid">
          <fgColor rgb="FFFFF3CD"/>
          <bgColor rgb="FFFFF3CD"/>
        </patternFill>
      </fill>
    </dxf>
    <dxf>
      <font>
        <b val="1"/>
        <color rgb="FF0F5132"/>
      </font>
      <fill>
        <patternFill patternType="solid">
          <fgColor rgb="FFD1E7DD"/>
          <bgColor rgb="FFD1E7DD"/>
        </patternFill>
      </fill>
    </dxf>
    <dxf>
      <font>
        <b val="1"/>
        <color rgb="FF084298"/>
      </font>
      <fill>
        <patternFill patternType="solid">
          <fgColor rgb="FFCFE2FF"/>
          <bgColor rgb="FFCFE2FF"/>
        </patternFill>
      </fill>
    </dxf>
    <dxf>
      <font>
        <b val="1"/>
        <color rgb="FF664D03"/>
      </font>
      <fill>
        <patternFill patternType="solid">
          <fgColor rgb="FFFFF3CD"/>
          <bgColor rgb="FFFFF3CD"/>
        </patternFill>
      </fill>
    </dxf>
    <dxf>
      <font>
        <b val="1"/>
        <color rgb="FF0F5132"/>
      </font>
      <fill>
        <patternFill patternType="solid">
          <fgColor rgb="FFD1E7DD"/>
          <bgColor rgb="FFD1E7DD"/>
        </patternFill>
      </fill>
    </dxf>
    <dxf>
      <font>
        <b val="1"/>
        <color rgb="000F5132"/>
      </font>
      <fill>
        <patternFill patternType="solid">
          <fgColor rgb="00D1E7DD"/>
          <bgColor rgb="00D1E7DD"/>
        </patternFill>
      </fill>
    </dxf>
    <dxf>
      <font>
        <b val="1"/>
        <color rgb="00664D03"/>
      </font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1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2" min="1" max="1"/>
    <col width="28" customWidth="1" style="32" min="2" max="2"/>
    <col width="18" customWidth="1" style="32" min="3" max="3"/>
    <col width="18" customWidth="1" style="32" min="4" max="4"/>
    <col width="18" customWidth="1" style="32" min="5" max="5"/>
    <col width="18" customWidth="1" style="32" min="6" max="6"/>
    <col width="18" customWidth="1" style="32" min="7" max="7"/>
    <col width="18" customWidth="1" style="32" min="8" max="8"/>
    <col width="15" customWidth="1" style="32" min="9" max="9"/>
    <col width="12" customWidth="1" style="32" min="10" max="10"/>
    <col width="16" customWidth="1" style="32" min="11" max="11"/>
  </cols>
  <sheetData>
    <row r="1" ht="42" customHeight="1" s="32">
      <c r="A1" s="58" t="inlineStr">
        <is>
          <t>📊 DASHBOARD GLOBAL - CONTROL GENERAL DE CRÉDITOS NATILLERA</t>
        </is>
      </c>
    </row>
    <row r="2" ht="22" customHeight="1" s="32">
      <c r="A2" s="59" t="inlineStr">
        <is>
          <t>Administrador: Santiago | Información Consolidada en Tiempo Real | Haz clic en cualquier socio para ir directo a su pestaña</t>
        </is>
      </c>
    </row>
    <row r="4" ht="20" customHeight="1" s="32">
      <c r="A4" s="60" t="inlineStr">
        <is>
          <t>FECHA DE HOY</t>
        </is>
      </c>
      <c r="B4" s="106" t="n"/>
      <c r="C4" s="60" t="inlineStr">
        <is>
          <t>TOTAL PRESTADO</t>
        </is>
      </c>
      <c r="D4" s="62" t="inlineStr">
        <is>
          <t>CAPITAL EN LA CALLE</t>
        </is>
      </c>
      <c r="E4" s="60" t="inlineStr">
        <is>
          <t>INTERESES LIQUIDADOS</t>
        </is>
      </c>
      <c r="F4" s="63" t="inlineStr">
        <is>
          <t>INTERESES POR COBRAR</t>
        </is>
      </c>
      <c r="G4" s="64" t="inlineStr">
        <is>
          <t>TOTAL POR COBRAR HOY</t>
        </is>
      </c>
      <c r="H4" s="106" t="n"/>
      <c r="I4" s="65" t="inlineStr">
        <is>
          <t>TOTAL RECAUDADO EN ABONOS</t>
        </is>
      </c>
      <c r="J4" s="107" t="n"/>
      <c r="K4" s="106" t="n"/>
    </row>
    <row r="5" ht="30" customHeight="1" s="32">
      <c r="A5" s="66">
        <f>TODAY()</f>
        <v/>
      </c>
      <c r="B5" s="106" t="n"/>
      <c r="C5" s="67">
        <f>C29</f>
        <v/>
      </c>
      <c r="D5" s="68">
        <f>D29</f>
        <v/>
      </c>
      <c r="E5" s="67">
        <f>E29</f>
        <v/>
      </c>
      <c r="F5" s="69">
        <f>F29</f>
        <v/>
      </c>
      <c r="G5" s="70">
        <f>G29</f>
        <v/>
      </c>
      <c r="H5" s="106" t="n"/>
      <c r="I5" s="71">
        <f>H29</f>
        <v/>
      </c>
      <c r="J5" s="107" t="n"/>
      <c r="K5" s="106" t="n"/>
    </row>
    <row r="7" ht="25" customHeight="1" s="32">
      <c r="A7" s="72" t="inlineStr">
        <is>
          <t>👥 CONSOLIDADO DE SOCIOS Y ESTADO DE CUENTA GENERAL</t>
        </is>
      </c>
    </row>
    <row r="9" ht="30" customHeight="1" s="32">
      <c r="A9" s="73" t="inlineStr">
        <is>
          <t>N°</t>
        </is>
      </c>
      <c r="B9" s="73" t="inlineStr">
        <is>
          <t>Socio / Nombre de la Pestaña</t>
        </is>
      </c>
      <c r="C9" s="73" t="inlineStr">
        <is>
          <t>Capital Prestado</t>
        </is>
      </c>
      <c r="D9" s="73" t="inlineStr">
        <is>
          <t>Capital en Calle</t>
        </is>
      </c>
      <c r="E9" s="73" t="inlineStr">
        <is>
          <t>Intereses Liquidados</t>
        </is>
      </c>
      <c r="F9" s="73" t="inlineStr">
        <is>
          <t>Intereses por Cobrar</t>
        </is>
      </c>
      <c r="G9" s="73" t="inlineStr">
        <is>
          <t>Total por Cobrar</t>
        </is>
      </c>
      <c r="H9" s="73" t="inlineStr">
        <is>
          <t>Total Abonado</t>
        </is>
      </c>
      <c r="I9" s="73" t="inlineStr">
        <is>
          <t>Estado Socio</t>
        </is>
      </c>
      <c r="J9" s="73" t="inlineStr">
        <is>
          <t>N° Créditos</t>
        </is>
      </c>
      <c r="K9" s="73" t="inlineStr">
        <is>
          <t>Acceso Directo</t>
        </is>
      </c>
    </row>
    <row r="10" ht="24" customHeight="1" s="32">
      <c r="A10" s="74" t="n">
        <v>1</v>
      </c>
      <c r="B10" s="75">
        <f>HYPERLINK("#'Jorge Gaviria'!A1", "Jorge Gaviria")</f>
        <v/>
      </c>
      <c r="C10" s="76">
        <f>'Jorge Gaviria'!D5</f>
        <v/>
      </c>
      <c r="D10" s="76">
        <f>'Jorge Gaviria'!F5</f>
        <v/>
      </c>
      <c r="E10" s="76">
        <f>'Jorge Gaviria'!H5</f>
        <v/>
      </c>
      <c r="F10" s="76">
        <f>'Jorge Gaviria'!J5</f>
        <v/>
      </c>
      <c r="G10" s="77">
        <f>'Jorge Gaviria'!L5</f>
        <v/>
      </c>
      <c r="H10" s="76">
        <f>'Jorge Gaviria'!U5</f>
        <v/>
      </c>
      <c r="I10" s="78">
        <f>IF(OR(C10="",C10=0),"",IF(G10&lt;=0,"PAZ Y SALVO",IF(D10&gt;0,"CON DEUDA","AL DÍA")))</f>
        <v/>
      </c>
      <c r="J10" s="74">
        <f>COUNT('Jorge Gaviria'!F9:F28)</f>
        <v/>
      </c>
      <c r="K10" s="79">
        <f>HYPERLINK("#'Jorge Gaviria'!A1", "👉 Ver Créditos")</f>
        <v/>
      </c>
    </row>
    <row r="11" ht="24" customHeight="1" s="32">
      <c r="A11" s="80" t="n">
        <v>2</v>
      </c>
      <c r="B11" s="81">
        <f>HYPERLINK("#'Caro Rios'!A1", "Caro Rios")</f>
        <v/>
      </c>
      <c r="C11" s="82">
        <f>'Caro Rios'!D5</f>
        <v/>
      </c>
      <c r="D11" s="82">
        <f>'Caro Rios'!F5</f>
        <v/>
      </c>
      <c r="E11" s="82">
        <f>'Caro Rios'!H5</f>
        <v/>
      </c>
      <c r="F11" s="82">
        <f>'Caro Rios'!J5</f>
        <v/>
      </c>
      <c r="G11" s="83">
        <f>'Caro Rios'!L5</f>
        <v/>
      </c>
      <c r="H11" s="82">
        <f>'Caro Rios'!U5</f>
        <v/>
      </c>
      <c r="I11" s="84">
        <f>IF(OR(C11="",C11=0),"",IF(G11&lt;=0,"PAZ Y SALVO",IF(D11&gt;0,"CON DEUDA","AL DÍA")))</f>
        <v/>
      </c>
      <c r="J11" s="80">
        <f>COUNT('Caro Rios'!F9:F28)</f>
        <v/>
      </c>
      <c r="K11" s="85">
        <f>HYPERLINK("#'Caro Rios'!A1", "👉 Ver Créditos")</f>
        <v/>
      </c>
    </row>
    <row r="12" ht="24" customHeight="1" s="32">
      <c r="A12" s="74" t="n">
        <v>3</v>
      </c>
      <c r="B12" s="75">
        <f>HYPERLINK("#'Andres Castro'!A1", "Andres Castro")</f>
        <v/>
      </c>
      <c r="C12" s="76">
        <f>'Andres Castro'!D5</f>
        <v/>
      </c>
      <c r="D12" s="76">
        <f>'Andres Castro'!F5</f>
        <v/>
      </c>
      <c r="E12" s="76">
        <f>'Andres Castro'!H5</f>
        <v/>
      </c>
      <c r="F12" s="76">
        <f>'Andres Castro'!J5</f>
        <v/>
      </c>
      <c r="G12" s="77">
        <f>'Andres Castro'!L5</f>
        <v/>
      </c>
      <c r="H12" s="76">
        <f>'Andres Castro'!U5</f>
        <v/>
      </c>
      <c r="I12" s="78">
        <f>IF(OR(C12="",C12=0),"",IF(G12&lt;=0,"PAZ Y SALVO",IF(D12&gt;0,"CON DEUDA","AL DÍA")))</f>
        <v/>
      </c>
      <c r="J12" s="74">
        <f>COUNT('Andres Castro'!F9:F18)</f>
        <v/>
      </c>
      <c r="K12" s="79">
        <f>HYPERLINK("#'Andres Castro'!A1", "👉 Ver Créditos")</f>
        <v/>
      </c>
    </row>
    <row r="13" ht="24" customHeight="1" s="32">
      <c r="A13" s="80" t="n">
        <v>4</v>
      </c>
      <c r="B13" s="81">
        <f>HYPERLINK("#'Wilson Alvarez'!A1", "Wilson Alvarez")</f>
        <v/>
      </c>
      <c r="C13" s="82">
        <f>'Wilson Alvarez'!D5</f>
        <v/>
      </c>
      <c r="D13" s="82">
        <f>'Wilson Alvarez'!F5</f>
        <v/>
      </c>
      <c r="E13" s="82">
        <f>'Wilson Alvarez'!H5</f>
        <v/>
      </c>
      <c r="F13" s="82">
        <f>'Wilson Alvarez'!J5</f>
        <v/>
      </c>
      <c r="G13" s="83">
        <f>'Wilson Alvarez'!L5</f>
        <v/>
      </c>
      <c r="H13" s="82">
        <f>'Wilson Alvarez'!U5</f>
        <v/>
      </c>
      <c r="I13" s="84">
        <f>IF(OR(C13="",C13=0),"",IF(G13&lt;=0,"PAZ Y SALVO",IF(D13&gt;0,"CON DEUDA","AL DÍA")))</f>
        <v/>
      </c>
      <c r="J13" s="80">
        <f>COUNT('Wilson Alvarez'!F9:F18)</f>
        <v/>
      </c>
      <c r="K13" s="85">
        <f>HYPERLINK("#'Wilson Alvarez'!A1", "👉 Ver Créditos")</f>
        <v/>
      </c>
    </row>
    <row r="14" ht="24" customHeight="1" s="32">
      <c r="A14" s="74" t="n">
        <v>5</v>
      </c>
      <c r="B14" s="86" t="inlineStr"/>
      <c r="C14" s="87" t="inlineStr"/>
      <c r="D14" s="87" t="inlineStr"/>
      <c r="E14" s="87" t="inlineStr"/>
      <c r="F14" s="87" t="inlineStr"/>
      <c r="G14" s="87" t="inlineStr"/>
      <c r="H14" s="87" t="inlineStr"/>
      <c r="I14" s="86" t="inlineStr"/>
      <c r="J14" s="86" t="inlineStr"/>
      <c r="K14" s="86" t="inlineStr"/>
    </row>
    <row r="15" ht="24" customHeight="1" s="32">
      <c r="A15" s="80" t="n">
        <v>6</v>
      </c>
      <c r="B15" s="88" t="inlineStr"/>
      <c r="C15" s="89" t="inlineStr"/>
      <c r="D15" s="89" t="inlineStr"/>
      <c r="E15" s="89" t="inlineStr"/>
      <c r="F15" s="89" t="inlineStr"/>
      <c r="G15" s="89" t="inlineStr"/>
      <c r="H15" s="89" t="inlineStr"/>
      <c r="I15" s="88" t="inlineStr"/>
      <c r="J15" s="88" t="inlineStr"/>
      <c r="K15" s="88" t="inlineStr"/>
    </row>
    <row r="16" ht="24" customHeight="1" s="32">
      <c r="A16" s="74" t="n">
        <v>7</v>
      </c>
      <c r="B16" s="86" t="inlineStr"/>
      <c r="C16" s="87" t="inlineStr"/>
      <c r="D16" s="87" t="inlineStr"/>
      <c r="E16" s="87" t="inlineStr"/>
      <c r="F16" s="87" t="inlineStr"/>
      <c r="G16" s="87" t="inlineStr"/>
      <c r="H16" s="87" t="inlineStr"/>
      <c r="I16" s="86" t="inlineStr"/>
      <c r="J16" s="86" t="inlineStr"/>
      <c r="K16" s="86" t="inlineStr"/>
    </row>
    <row r="17" ht="24" customHeight="1" s="32">
      <c r="A17" s="80" t="n">
        <v>8</v>
      </c>
      <c r="B17" s="88" t="inlineStr"/>
      <c r="C17" s="89" t="inlineStr"/>
      <c r="D17" s="89" t="inlineStr"/>
      <c r="E17" s="89" t="inlineStr"/>
      <c r="F17" s="89" t="inlineStr"/>
      <c r="G17" s="89" t="inlineStr"/>
      <c r="H17" s="89" t="inlineStr"/>
      <c r="I17" s="88" t="inlineStr"/>
      <c r="J17" s="88" t="inlineStr"/>
      <c r="K17" s="88" t="inlineStr"/>
    </row>
    <row r="18" ht="24" customHeight="1" s="32">
      <c r="A18" s="74" t="n">
        <v>9</v>
      </c>
      <c r="B18" s="86" t="inlineStr"/>
      <c r="C18" s="87" t="inlineStr"/>
      <c r="D18" s="87" t="inlineStr"/>
      <c r="E18" s="87" t="inlineStr"/>
      <c r="F18" s="87" t="inlineStr"/>
      <c r="G18" s="87" t="inlineStr"/>
      <c r="H18" s="87" t="inlineStr"/>
      <c r="I18" s="86" t="inlineStr"/>
      <c r="J18" s="86" t="inlineStr"/>
      <c r="K18" s="86" t="inlineStr"/>
    </row>
    <row r="19" ht="24" customHeight="1" s="32">
      <c r="A19" s="80" t="n">
        <v>10</v>
      </c>
      <c r="B19" s="88" t="inlineStr"/>
      <c r="C19" s="89" t="inlineStr"/>
      <c r="D19" s="89" t="inlineStr"/>
      <c r="E19" s="89" t="inlineStr"/>
      <c r="F19" s="89" t="inlineStr"/>
      <c r="G19" s="89" t="inlineStr"/>
      <c r="H19" s="89" t="inlineStr"/>
      <c r="I19" s="88" t="inlineStr"/>
      <c r="J19" s="88" t="inlineStr"/>
      <c r="K19" s="88" t="inlineStr"/>
    </row>
    <row r="20" ht="24" customHeight="1" s="32">
      <c r="A20" s="74" t="n">
        <v>11</v>
      </c>
      <c r="B20" s="86" t="inlineStr"/>
      <c r="C20" s="87" t="inlineStr"/>
      <c r="D20" s="87" t="inlineStr"/>
      <c r="E20" s="87" t="inlineStr"/>
      <c r="F20" s="87" t="inlineStr"/>
      <c r="G20" s="87" t="inlineStr"/>
      <c r="H20" s="87" t="inlineStr"/>
      <c r="I20" s="86" t="inlineStr"/>
      <c r="J20" s="86" t="inlineStr"/>
      <c r="K20" s="86" t="inlineStr"/>
    </row>
    <row r="21" ht="24" customHeight="1" s="32">
      <c r="A21" s="80" t="n">
        <v>12</v>
      </c>
      <c r="B21" s="88" t="inlineStr"/>
      <c r="C21" s="89" t="inlineStr"/>
      <c r="D21" s="89" t="inlineStr"/>
      <c r="E21" s="89" t="inlineStr"/>
      <c r="F21" s="89" t="inlineStr"/>
      <c r="G21" s="89" t="inlineStr"/>
      <c r="H21" s="89" t="inlineStr"/>
      <c r="I21" s="88" t="inlineStr"/>
      <c r="J21" s="88" t="inlineStr"/>
      <c r="K21" s="88" t="inlineStr"/>
    </row>
    <row r="22" ht="24" customHeight="1" s="32">
      <c r="A22" s="74" t="n">
        <v>13</v>
      </c>
      <c r="B22" s="86" t="inlineStr"/>
      <c r="C22" s="87" t="inlineStr"/>
      <c r="D22" s="87" t="inlineStr"/>
      <c r="E22" s="87" t="inlineStr"/>
      <c r="F22" s="87" t="inlineStr"/>
      <c r="G22" s="87" t="inlineStr"/>
      <c r="H22" s="87" t="inlineStr"/>
      <c r="I22" s="86" t="inlineStr"/>
      <c r="J22" s="86" t="inlineStr"/>
      <c r="K22" s="86" t="inlineStr"/>
    </row>
    <row r="23" ht="24" customHeight="1" s="32">
      <c r="A23" s="80" t="n">
        <v>14</v>
      </c>
      <c r="B23" s="88" t="inlineStr"/>
      <c r="C23" s="89" t="inlineStr"/>
      <c r="D23" s="89" t="inlineStr"/>
      <c r="E23" s="89" t="inlineStr"/>
      <c r="F23" s="89" t="inlineStr"/>
      <c r="G23" s="89" t="inlineStr"/>
      <c r="H23" s="89" t="inlineStr"/>
      <c r="I23" s="88" t="inlineStr"/>
      <c r="J23" s="88" t="inlineStr"/>
      <c r="K23" s="88" t="inlineStr"/>
    </row>
    <row r="24" ht="24" customHeight="1" s="32">
      <c r="A24" s="74" t="n">
        <v>15</v>
      </c>
      <c r="B24" s="86" t="inlineStr"/>
      <c r="C24" s="87" t="inlineStr"/>
      <c r="D24" s="87" t="inlineStr"/>
      <c r="E24" s="87" t="inlineStr"/>
      <c r="F24" s="87" t="inlineStr"/>
      <c r="G24" s="87" t="inlineStr"/>
      <c r="H24" s="87" t="inlineStr"/>
      <c r="I24" s="86" t="inlineStr"/>
      <c r="J24" s="86" t="inlineStr"/>
      <c r="K24" s="86" t="inlineStr"/>
    </row>
    <row r="25" ht="24" customHeight="1" s="32">
      <c r="A25" s="80" t="n">
        <v>16</v>
      </c>
      <c r="B25" s="88" t="inlineStr"/>
      <c r="C25" s="89" t="inlineStr"/>
      <c r="D25" s="89" t="inlineStr"/>
      <c r="E25" s="89" t="inlineStr"/>
      <c r="F25" s="89" t="inlineStr"/>
      <c r="G25" s="89" t="inlineStr"/>
      <c r="H25" s="89" t="inlineStr"/>
      <c r="I25" s="88" t="inlineStr"/>
      <c r="J25" s="88" t="inlineStr"/>
      <c r="K25" s="88" t="inlineStr"/>
    </row>
    <row r="26" ht="24" customHeight="1" s="32">
      <c r="A26" s="74" t="n">
        <v>17</v>
      </c>
      <c r="B26" s="86" t="inlineStr"/>
      <c r="C26" s="87" t="inlineStr"/>
      <c r="D26" s="87" t="inlineStr"/>
      <c r="E26" s="87" t="inlineStr"/>
      <c r="F26" s="87" t="inlineStr"/>
      <c r="G26" s="87" t="inlineStr"/>
      <c r="H26" s="87" t="inlineStr"/>
      <c r="I26" s="86" t="inlineStr"/>
      <c r="J26" s="86" t="inlineStr"/>
      <c r="K26" s="86" t="inlineStr"/>
    </row>
    <row r="27" ht="24" customHeight="1" s="32">
      <c r="A27" s="80" t="n">
        <v>18</v>
      </c>
      <c r="B27" s="88" t="inlineStr"/>
      <c r="C27" s="89" t="inlineStr"/>
      <c r="D27" s="89" t="inlineStr"/>
      <c r="E27" s="89" t="inlineStr"/>
      <c r="F27" s="89" t="inlineStr"/>
      <c r="G27" s="89" t="inlineStr"/>
      <c r="H27" s="89" t="inlineStr"/>
      <c r="I27" s="88" t="inlineStr"/>
      <c r="J27" s="88" t="inlineStr"/>
      <c r="K27" s="88" t="inlineStr"/>
    </row>
    <row r="28" ht="24" customHeight="1" s="32">
      <c r="A28" s="74" t="n">
        <v>19</v>
      </c>
      <c r="B28" s="86" t="inlineStr"/>
      <c r="C28" s="87" t="inlineStr"/>
      <c r="D28" s="87" t="inlineStr"/>
      <c r="E28" s="87" t="inlineStr"/>
      <c r="F28" s="87" t="inlineStr"/>
      <c r="G28" s="87" t="inlineStr"/>
      <c r="H28" s="87" t="inlineStr"/>
      <c r="I28" s="86" t="inlineStr"/>
      <c r="J28" s="86" t="inlineStr"/>
      <c r="K28" s="86" t="inlineStr"/>
    </row>
    <row r="29" ht="28" customHeight="1" s="32">
      <c r="A29" s="90" t="inlineStr">
        <is>
          <t>TOTAL GENERAL NATILLERA</t>
        </is>
      </c>
      <c r="B29" s="108" t="n"/>
      <c r="C29" s="92">
        <f>SUM(C10:C28)</f>
        <v/>
      </c>
      <c r="D29" s="92">
        <f>SUM(D10:D28)</f>
        <v/>
      </c>
      <c r="E29" s="92">
        <f>SUM(E10:E28)</f>
        <v/>
      </c>
      <c r="F29" s="92">
        <f>SUM(F10:F28)</f>
        <v/>
      </c>
      <c r="G29" s="92">
        <f>SUM(G10:G28)</f>
        <v/>
      </c>
      <c r="H29" s="92">
        <f>SUM(H10:H28)</f>
        <v/>
      </c>
      <c r="I29" s="93" t="inlineStr"/>
      <c r="J29" s="93" t="inlineStr"/>
      <c r="K29" s="93" t="inlineStr"/>
    </row>
    <row r="32" ht="26" customHeight="1" s="32">
      <c r="A32" s="94" t="inlineStr">
        <is>
          <t>💡 GUÍA PARA SANTIAGO: CÓMO USAR EL DASHBOARD Y AGREGAR NUEVAS PERSONAS</t>
        </is>
      </c>
    </row>
    <row r="33" ht="20" customHeight="1" s="32">
      <c r="A33" s="95" t="inlineStr">
        <is>
          <t>✔</t>
        </is>
      </c>
      <c r="B33" s="96" t="inlineStr">
        <is>
          <t>1. Navegación con 1 Clic: Haz clic en '👉 Ver Créditos' o sobre el nombre de Jorge, Caro, Andrés o Wilson para ir directo a su pestaña. No tienes que buscar entre pestañas manualmente.</t>
        </is>
      </c>
    </row>
    <row r="34" ht="20" customHeight="1" s="32">
      <c r="A34" s="95" t="inlineStr">
        <is>
          <t>✔</t>
        </is>
      </c>
      <c r="B34" s="96" t="inlineStr">
        <is>
          <t>2. Cómo Agregar una Nueva Persona: Abajo en las pestañas, dale clic derecho a 'Formato Credito Natillera' ➔ 'Mover o copiar...' ➔ marca 'Crear una copia'. Ponle el nombre del nuevo socio a la pestaña.</t>
        </is>
      </c>
    </row>
    <row r="35" ht="20" customHeight="1" s="32">
      <c r="A35" s="95" t="inlineStr">
        <is>
          <t>✔</t>
        </is>
      </c>
      <c r="B35" s="96" t="inlineStr">
        <is>
          <t>3. Vincular al Dashboard: En la siguiente fila vacía del Dashboard (por ejemplo fila 14), escribe su nombre y enlázalo escribiendo ='Nuevo Socio'!D5 en Capital Prestado. ¡El Dashboard consolidará todo solo!</t>
        </is>
      </c>
    </row>
    <row r="36" ht="20" customHeight="1" s="32">
      <c r="A36" s="95" t="inlineStr">
        <is>
          <t>✔</t>
        </is>
      </c>
      <c r="B36" s="96" t="inlineStr">
        <is>
          <t>4. Información 100% en Vivo: Cada vez que abras el Excel, la celda =HOY() recalculará los días y los intereses al día de hoy, y los créditos cancelados mantendrán sus intereses congelados a la fecha de pago.</t>
        </is>
      </c>
    </row>
  </sheetData>
  <mergeCells count="15">
    <mergeCell ref="A4:B4"/>
    <mergeCell ref="G4:H4"/>
    <mergeCell ref="A29:B29"/>
    <mergeCell ref="I5:K5"/>
    <mergeCell ref="A7:K7"/>
    <mergeCell ref="B35:K35"/>
    <mergeCell ref="A5:B5"/>
    <mergeCell ref="A2:K2"/>
    <mergeCell ref="G5:H5"/>
    <mergeCell ref="I4:K4"/>
    <mergeCell ref="A32:K32"/>
    <mergeCell ref="B34:K34"/>
    <mergeCell ref="B33:K33"/>
    <mergeCell ref="A1:K1"/>
    <mergeCell ref="B36:K36"/>
  </mergeCells>
  <conditionalFormatting sqref="I10:I28">
    <cfRule type="cellIs" priority="1" operator="equal" dxfId="15" stopIfTrue="1">
      <formula>"PAZ Y SALVO"</formula>
    </cfRule>
    <cfRule type="cellIs" priority="2" operator="equal" dxfId="16" stopIfTrue="1">
      <formula>"CON DEUDA"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showGridLines="0" tabSelected="1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G15" sqref="G15"/>
    </sheetView>
  </sheetViews>
  <sheetFormatPr baseColWidth="10" defaultColWidth="8.88671875" defaultRowHeight="14.4"/>
  <cols>
    <col width="5" customWidth="1" style="32" min="1" max="1"/>
    <col width="15.77734375" customWidth="1" style="32" min="2" max="2"/>
    <col width="13" customWidth="1" style="32" min="3" max="3"/>
    <col width="15" customWidth="1" style="32" min="4" max="4"/>
    <col width="7" customWidth="1" style="32" min="5" max="5"/>
    <col width="16" customWidth="1" style="32" min="6" max="6"/>
    <col width="10" customWidth="1" style="32" min="7" max="7"/>
    <col width="16" customWidth="1" style="32" min="8" max="10"/>
    <col width="14" customWidth="1" style="32" min="11" max="11"/>
    <col width="16" customWidth="1" style="32" min="12" max="12"/>
    <col width="15" customWidth="1" style="32" min="13" max="13"/>
    <col width="16" customWidth="1" style="32" min="14" max="14"/>
    <col width="12" customWidth="1" style="32" min="15" max="15"/>
    <col width="3" customWidth="1" style="32" min="16" max="16"/>
    <col width="13" customWidth="1" style="32" min="17" max="17"/>
    <col width="10" customWidth="1" style="32" min="18" max="18"/>
    <col width="24" customWidth="1" style="32" min="19" max="19"/>
    <col width="16" customWidth="1" style="32" min="20" max="21"/>
    <col width="15" customWidth="1" style="32" min="22" max="22"/>
    <col width="24.77734375" customWidth="1" style="32" min="23" max="23"/>
  </cols>
  <sheetData>
    <row r="1" ht="42" customHeight="1" s="32">
      <c r="A1" s="48" t="inlineStr">
        <is>
          <t>💰 SISTEMA DE CONTROL DE CRÉDITOS, INTERESES CONGELADOS A FECHA DE PAGO Y ABONOS - NATILLERA</t>
        </is>
      </c>
    </row>
    <row r="2" ht="22.05" customHeight="1" s="32">
      <c r="A2" s="50" t="inlineStr">
        <is>
          <t>Administrador: Santiago | Actualización Automática con =HOY() | Los intereses se congelan a la Fecha de Pago para no seguir acumulando cobros</t>
        </is>
      </c>
    </row>
    <row r="3" ht="24" customHeight="1" s="32">
      <c r="B3" s="109">
        <f>HYPERLINK("#Dashboard!A1", "⬅ VOLVER AL DASHBOARD GLOBAL")</f>
        <v/>
      </c>
      <c r="P3" s="49" t="n"/>
    </row>
    <row r="4" ht="19.05" customHeight="1" s="32">
      <c r="B4" s="51" t="inlineStr">
        <is>
          <t>FECHA DE HOY</t>
        </is>
      </c>
      <c r="C4" s="97" t="n"/>
      <c r="D4" s="51" t="inlineStr">
        <is>
          <t>TOTAL PRESTADO</t>
        </is>
      </c>
      <c r="E4" s="97" t="n"/>
      <c r="F4" s="52" t="inlineStr">
        <is>
          <t>CAPITAL EN LA CALLE</t>
        </is>
      </c>
      <c r="G4" s="97" t="n"/>
      <c r="H4" s="51" t="inlineStr">
        <is>
          <t>INTERESES A FECHA DE PAGO</t>
        </is>
      </c>
      <c r="I4" s="97" t="n"/>
      <c r="J4" s="53" t="inlineStr">
        <is>
          <t>INTERESES POR COBRAR</t>
        </is>
      </c>
      <c r="K4" s="97" t="n"/>
      <c r="L4" s="40" t="inlineStr">
        <is>
          <t>TOTAL POR COBRAR GENERAL</t>
        </is>
      </c>
      <c r="M4" s="98" t="n"/>
      <c r="N4" s="98" t="n"/>
      <c r="O4" s="97" t="n"/>
      <c r="P4" s="49" t="n"/>
      <c r="Q4" s="54" t="inlineStr">
        <is>
          <t>ABONOS A INTERÉS</t>
        </is>
      </c>
      <c r="R4" s="97" t="n"/>
      <c r="S4" s="54" t="inlineStr">
        <is>
          <t>ABONOS A CAPITAL</t>
        </is>
      </c>
      <c r="T4" s="97" t="n"/>
      <c r="U4" s="40" t="inlineStr">
        <is>
          <t>TOTAL RECAUDADO EN ABONOS</t>
        </is>
      </c>
      <c r="V4" s="98" t="n"/>
      <c r="W4" s="97" t="n"/>
    </row>
    <row r="5" ht="28.05" customHeight="1" s="32">
      <c r="B5" s="42">
        <f>TODAY()</f>
        <v/>
      </c>
      <c r="C5" s="97" t="n"/>
      <c r="D5" s="43">
        <f>F29</f>
        <v/>
      </c>
      <c r="E5" s="97" t="n"/>
      <c r="F5" s="44">
        <f>M29</f>
        <v/>
      </c>
      <c r="G5" s="97" t="n"/>
      <c r="H5" s="43">
        <f>I29</f>
        <v/>
      </c>
      <c r="I5" s="97" t="n"/>
      <c r="J5" s="45">
        <f>K29</f>
        <v/>
      </c>
      <c r="K5" s="97" t="n"/>
      <c r="L5" s="46">
        <f>N29</f>
        <v/>
      </c>
      <c r="M5" s="98" t="n"/>
      <c r="N5" s="98" t="n"/>
      <c r="O5" s="97" t="n"/>
      <c r="P5" s="49" t="n"/>
      <c r="Q5" s="47">
        <f>J29</f>
        <v/>
      </c>
      <c r="R5" s="97" t="n"/>
      <c r="S5" s="47">
        <f>L29</f>
        <v/>
      </c>
      <c r="T5" s="97" t="n"/>
      <c r="U5" s="46">
        <f>Q5+S5</f>
        <v/>
      </c>
      <c r="V5" s="98" t="n"/>
      <c r="W5" s="97" t="n"/>
    </row>
    <row r="6">
      <c r="P6" s="49" t="n"/>
    </row>
    <row r="7" ht="25.05" customHeight="1" s="32">
      <c r="A7" s="33" t="inlineStr">
        <is>
          <t>📋 TABLA DE CRÉDITOS Y LIQUIDACIÓN (Con congelamiento de intereses a la fecha de pago)</t>
        </is>
      </c>
      <c r="P7" s="49" t="n"/>
      <c r="Q7" s="34" t="inlineStr">
        <is>
          <t>💳 REGISTRO DE ABONOS RECIBIDOS (Permite múltiples pagos por crédito)</t>
        </is>
      </c>
    </row>
    <row r="8" ht="31.95" customHeight="1" s="32">
      <c r="A8" s="2" t="inlineStr">
        <is>
          <t>N°</t>
        </is>
      </c>
      <c r="B8" s="2" t="inlineStr">
        <is>
          <t>Nombre del Socio / Deudor</t>
        </is>
      </c>
      <c r="C8" s="2" t="inlineStr">
        <is>
          <t>Fecha Crédito</t>
        </is>
      </c>
      <c r="D8" s="3" t="inlineStr">
        <is>
          <t>Fecha Pago / Liquidación</t>
        </is>
      </c>
      <c r="E8" s="2" t="inlineStr">
        <is>
          <t>Días</t>
        </is>
      </c>
      <c r="F8" s="2" t="inlineStr">
        <is>
          <t>Valor Crédito (Capital)</t>
        </is>
      </c>
      <c r="G8" s="2" t="inlineStr">
        <is>
          <t>Tasa Mes</t>
        </is>
      </c>
      <c r="H8" s="2" t="inlineStr">
        <is>
          <t>Intereses a Hoy (En Vivo)</t>
        </is>
      </c>
      <c r="I8" s="3" t="inlineStr">
        <is>
          <t>Intereses a Fecha Pago</t>
        </is>
      </c>
      <c r="J8" s="2" t="inlineStr">
        <is>
          <t>Total Abono Interés</t>
        </is>
      </c>
      <c r="K8" s="2" t="inlineStr">
        <is>
          <t>Saldo Interés</t>
        </is>
      </c>
      <c r="L8" s="2" t="inlineStr">
        <is>
          <t>Total Abono Capital</t>
        </is>
      </c>
      <c r="M8" s="2" t="inlineStr">
        <is>
          <t>Saldo Capital</t>
        </is>
      </c>
      <c r="N8" s="2" t="inlineStr">
        <is>
          <t>Total a Pagar Hoy</t>
        </is>
      </c>
      <c r="O8" s="2" t="inlineStr">
        <is>
          <t>Estado</t>
        </is>
      </c>
      <c r="P8" s="49" t="n"/>
      <c r="Q8" s="4" t="inlineStr">
        <is>
          <t>Fecha Pago</t>
        </is>
      </c>
      <c r="R8" s="4" t="inlineStr">
        <is>
          <t>N° Crédito</t>
        </is>
      </c>
      <c r="S8" s="4" t="inlineStr">
        <is>
          <t>Socio (Automático)</t>
        </is>
      </c>
      <c r="T8" s="4" t="inlineStr">
        <is>
          <t>Abono a Intereses</t>
        </is>
      </c>
      <c r="U8" s="4" t="inlineStr">
        <is>
          <t>Abono a Capital</t>
        </is>
      </c>
      <c r="V8" s="4" t="inlineStr">
        <is>
          <t>Total Abonado</t>
        </is>
      </c>
      <c r="W8" s="4" t="inlineStr">
        <is>
          <t>Medio / Comprobante</t>
        </is>
      </c>
    </row>
    <row r="9" ht="22.05" customHeight="1" s="32">
      <c r="A9" s="5" t="n">
        <v>1</v>
      </c>
      <c r="B9" s="6" t="inlineStr">
        <is>
          <t>Jorge Gaviria</t>
        </is>
      </c>
      <c r="C9" s="7" t="n">
        <v>46042</v>
      </c>
      <c r="D9" s="7" t="n">
        <v>46188</v>
      </c>
      <c r="E9" s="8">
        <f>IF(C9="","",IF(D9&lt;&gt;"",D9-C9,TODAY()-C9))</f>
        <v/>
      </c>
      <c r="F9" s="9" t="n">
        <v>500000</v>
      </c>
      <c r="G9" s="10" t="n">
        <v>0.005</v>
      </c>
      <c r="H9" s="9">
        <f>IF(F9="","",ROUND(F9*(G9/30)*(TODAY()-C9),0))</f>
        <v/>
      </c>
      <c r="I9" s="9">
        <f>IF(F9="","",IF(D9&lt;&gt;"",ROUND(F9*(G9/30)*(D9-C9),0),"-"))</f>
        <v/>
      </c>
      <c r="J9" s="9">
        <f>IF(F9="","",SUMIF(R$9:R$40, A9, T$9:T$40))</f>
        <v/>
      </c>
      <c r="K9" s="9">
        <f>IF(F9="","",MAX(0,IF(D9&lt;&gt;"",I9,H9)-J9))</f>
        <v/>
      </c>
      <c r="L9" s="9">
        <f>IF(F9="","",SUMIF(R$9:R$40, A9, U$9:U$40))</f>
        <v/>
      </c>
      <c r="M9" s="9">
        <f>IF(F9="","",MAX(0,F9-L9))</f>
        <v/>
      </c>
      <c r="N9" s="11">
        <f>IF(F9="","",K9+M9)</f>
        <v/>
      </c>
      <c r="O9" s="12">
        <f>IF(F9="","",IF(N9&lt;=0,"PAGADO",IF(D9&lt;&gt;"","PAGADO",IF(E9&gt;30,"PENDIENTE","VIGENTE"))))</f>
        <v/>
      </c>
      <c r="P9" s="49" t="n"/>
      <c r="Q9" s="7" t="n">
        <v>46188</v>
      </c>
      <c r="R9" s="13" t="n">
        <v>1</v>
      </c>
      <c r="S9" s="6">
        <f>IF(R9="","",IFERROR(VLOOKUP(R9, A$9:B$28, 2, FALSE), "No existe"))</f>
        <v/>
      </c>
      <c r="T9" s="9" t="n">
        <v>12167</v>
      </c>
      <c r="U9" s="9" t="n">
        <v>500000</v>
      </c>
      <c r="V9" s="14">
        <f>IF(R9="","",T9+U9)</f>
        <v/>
      </c>
      <c r="W9" s="99" t="inlineStr">
        <is>
          <t>Consignacion de $3,000,000 se liquidan creditos viejos de capital e intereses</t>
        </is>
      </c>
    </row>
    <row r="10" ht="22.05" customHeight="1" s="32">
      <c r="A10" s="15" t="n">
        <v>2</v>
      </c>
      <c r="B10" s="16" t="inlineStr">
        <is>
          <t>Jorge Gaviria</t>
        </is>
      </c>
      <c r="C10" s="17" t="n">
        <v>46058</v>
      </c>
      <c r="D10" s="17" t="n">
        <v>46188</v>
      </c>
      <c r="E10" s="18">
        <f>IF(C10="","",IF(D10&lt;&gt;"",D10-C10,TODAY()-C10))</f>
        <v/>
      </c>
      <c r="F10" s="19" t="n">
        <v>200000</v>
      </c>
      <c r="G10" s="20" t="n">
        <v>0.005</v>
      </c>
      <c r="H10" s="19">
        <f>IF(F10="","",ROUND(F10*(G10/30)*(TODAY()-C10),0))</f>
        <v/>
      </c>
      <c r="I10" s="19">
        <f>IF(F10="","",IF(D10&lt;&gt;"",ROUND(F10*(G10/30)*(D10-C10),0),"-"))</f>
        <v/>
      </c>
      <c r="J10" s="19">
        <f>IF(F10="","",SUMIF(R$9:R$40, A10, T$9:T$40))</f>
        <v/>
      </c>
      <c r="K10" s="19">
        <f>IF(F10="","",MAX(0,IF(D10&lt;&gt;"",I10,H10)-J10))</f>
        <v/>
      </c>
      <c r="L10" s="19">
        <f>IF(F10="","",SUMIF(R$9:R$40, A10, U$9:U$40))</f>
        <v/>
      </c>
      <c r="M10" s="19">
        <f>IF(F10="","",MAX(0,F10-L10))</f>
        <v/>
      </c>
      <c r="N10" s="21">
        <f>IF(F10="","",K10+M10)</f>
        <v/>
      </c>
      <c r="O10" s="22">
        <f>IF(F10="","",IF(N10&lt;=0,"PAGADO",IF(D10&lt;&gt;"","PAGADO",IF(E10&gt;30,"PENDIENTE","VIGENTE"))))</f>
        <v/>
      </c>
      <c r="P10" s="49" t="n"/>
      <c r="Q10" s="17" t="n">
        <v>46188</v>
      </c>
      <c r="R10" s="23" t="n">
        <v>2</v>
      </c>
      <c r="S10" s="16">
        <f>IF(R10="","",IFERROR(VLOOKUP(R10, A$9:B$28, 2, FALSE), "No existe"))</f>
        <v/>
      </c>
      <c r="T10" s="19" t="n">
        <v>4333</v>
      </c>
      <c r="U10" s="19" t="n">
        <v>200000</v>
      </c>
      <c r="V10" s="24">
        <f>IF(R10="","",T10+U10)</f>
        <v/>
      </c>
      <c r="W10" s="100" t="n"/>
    </row>
    <row r="11" ht="22.05" customHeight="1" s="32">
      <c r="A11" s="5" t="n">
        <v>3</v>
      </c>
      <c r="B11" s="6" t="inlineStr">
        <is>
          <t>Jorge Gaviria</t>
        </is>
      </c>
      <c r="C11" s="7" t="n">
        <v>46059</v>
      </c>
      <c r="D11" s="7" t="n">
        <v>46188</v>
      </c>
      <c r="E11" s="8">
        <f>IF(C11="","",IF(D11&lt;&gt;"",D11-C11,TODAY()-C11))</f>
        <v/>
      </c>
      <c r="F11" s="9" t="n">
        <v>300000</v>
      </c>
      <c r="G11" s="10" t="n">
        <v>0.005</v>
      </c>
      <c r="H11" s="9">
        <f>IF(F11="","",ROUND(F11*(G11/30)*(TODAY()-C11),0))</f>
        <v/>
      </c>
      <c r="I11" s="9">
        <f>IF(F11="","",IF(D11&lt;&gt;"",ROUND(F11*(G11/30)*(D11-C11),0),"-"))</f>
        <v/>
      </c>
      <c r="J11" s="9">
        <f>IF(F11="","",SUMIF(R$9:R$40, A11, T$9:T$40))</f>
        <v/>
      </c>
      <c r="K11" s="9">
        <f>IF(F11="","",MAX(0,IF(D11&lt;&gt;"",I11,H11)-J11))</f>
        <v/>
      </c>
      <c r="L11" s="9">
        <f>IF(F11="","",SUMIF(R$9:R$40, A11, U$9:U$40))</f>
        <v/>
      </c>
      <c r="M11" s="9">
        <f>IF(F11="","",MAX(0,F11-L11))</f>
        <v/>
      </c>
      <c r="N11" s="11">
        <f>IF(F11="","",K11+M11)</f>
        <v/>
      </c>
      <c r="O11" s="12">
        <f>IF(F11="","",IF(N11&lt;=0,"PAGADO",IF(D11&lt;&gt;"","PAGADO",IF(E11&gt;30,"PENDIENTE","VIGENTE"))))</f>
        <v/>
      </c>
      <c r="P11" s="49" t="n"/>
      <c r="Q11" s="7" t="n">
        <v>46188</v>
      </c>
      <c r="R11" s="13" t="n">
        <v>3</v>
      </c>
      <c r="S11" s="6">
        <f>IF(R11="","",IFERROR(VLOOKUP(R11, A$9:B$28, 2, FALSE), "No existe"))</f>
        <v/>
      </c>
      <c r="T11" s="9" t="n">
        <v>6450</v>
      </c>
      <c r="U11" s="9" t="n">
        <v>300000</v>
      </c>
      <c r="V11" s="14">
        <f>IF(R11="","",T11+U11)</f>
        <v/>
      </c>
      <c r="W11" s="100" t="n"/>
    </row>
    <row r="12" ht="22.05" customHeight="1" s="32">
      <c r="A12" s="15" t="n">
        <v>4</v>
      </c>
      <c r="B12" s="16" t="inlineStr">
        <is>
          <t>Jorge Gaviria</t>
        </is>
      </c>
      <c r="C12" s="17" t="n">
        <v>46069</v>
      </c>
      <c r="D12" s="17" t="n">
        <v>46188</v>
      </c>
      <c r="E12" s="18">
        <f>IF(C12="","",IF(D12&lt;&gt;"",D12-C12,TODAY()-C12))</f>
        <v/>
      </c>
      <c r="F12" s="19" t="n">
        <v>500000</v>
      </c>
      <c r="G12" s="20" t="n">
        <v>0.005</v>
      </c>
      <c r="H12" s="19">
        <f>IF(F12="","",ROUND(F12*(G12/30)*(TODAY()-C12),0))</f>
        <v/>
      </c>
      <c r="I12" s="19">
        <f>IF(F12="","",IF(D12&lt;&gt;"",ROUND(F12*(G12/30)*(D12-C12),0),"-"))</f>
        <v/>
      </c>
      <c r="J12" s="19">
        <f>IF(F12="","",SUMIF(R$9:R$40, A12, T$9:T$40))</f>
        <v/>
      </c>
      <c r="K12" s="19">
        <f>IF(F12="","",MAX(0,IF(D12&lt;&gt;"",I12,H12)-J12))</f>
        <v/>
      </c>
      <c r="L12" s="19">
        <f>IF(F12="","",SUMIF(R$9:R$40, A12, U$9:U$40))</f>
        <v/>
      </c>
      <c r="M12" s="19">
        <f>IF(F12="","",MAX(0,F12-L12))</f>
        <v/>
      </c>
      <c r="N12" s="21">
        <f>IF(F12="","",K12+M12)</f>
        <v/>
      </c>
      <c r="O12" s="22">
        <f>IF(F12="","",IF(N12&lt;=0,"PAGADO",IF(D12&lt;&gt;"","PAGADO",IF(E12&gt;30,"PENDIENTE","VIGENTE"))))</f>
        <v/>
      </c>
      <c r="P12" s="49" t="n"/>
      <c r="Q12" s="17" t="n">
        <v>46188</v>
      </c>
      <c r="R12" s="23" t="n">
        <v>4</v>
      </c>
      <c r="S12" s="16">
        <f>IF(R12="","",IFERROR(VLOOKUP(R12, A$9:B$28, 2, FALSE), "No existe"))</f>
        <v/>
      </c>
      <c r="T12" s="19" t="n">
        <v>9917</v>
      </c>
      <c r="U12" s="19" t="n">
        <v>500000</v>
      </c>
      <c r="V12" s="24">
        <f>IF(R12="","",T12+U12)</f>
        <v/>
      </c>
      <c r="W12" s="100" t="n"/>
    </row>
    <row r="13" ht="22.05" customHeight="1" s="32">
      <c r="A13" s="5" t="n">
        <v>5</v>
      </c>
      <c r="B13" s="6" t="inlineStr">
        <is>
          <t>Jorge Gaviria</t>
        </is>
      </c>
      <c r="C13" s="7" t="n">
        <v>46087</v>
      </c>
      <c r="D13" s="7" t="n">
        <v>46188</v>
      </c>
      <c r="E13" s="8">
        <f>IF(C13="","",IF(D13&lt;&gt;"",D13-C13,TODAY()-C13))</f>
        <v/>
      </c>
      <c r="F13" s="9" t="n">
        <v>200000</v>
      </c>
      <c r="G13" s="10" t="n">
        <v>0.005</v>
      </c>
      <c r="H13" s="9">
        <f>IF(F13="","",ROUND(F13*(G13/30)*(TODAY()-C13),0))</f>
        <v/>
      </c>
      <c r="I13" s="9">
        <f>IF(F13="","",IF(D13&lt;&gt;"",ROUND(F13*(G13/30)*(D13-C13),0),"-"))</f>
        <v/>
      </c>
      <c r="J13" s="9">
        <f>IF(F13="","",SUMIF(R$9:R$40, A13, T$9:T$40))</f>
        <v/>
      </c>
      <c r="K13" s="9">
        <f>IF(F13="","",MAX(0,IF(D13&lt;&gt;"",I13,H13)-J13))</f>
        <v/>
      </c>
      <c r="L13" s="9">
        <f>IF(F13="","",SUMIF(R$9:R$40, A13, U$9:U$40))</f>
        <v/>
      </c>
      <c r="M13" s="9">
        <f>IF(F13="","",MAX(0,F13-L13))</f>
        <v/>
      </c>
      <c r="N13" s="11">
        <f>IF(F13="","",K13+M13)</f>
        <v/>
      </c>
      <c r="O13" s="12">
        <f>IF(F13="","",IF(N13&lt;=0,"PAGADO",IF(D13&lt;&gt;"","PAGADO",IF(E13&gt;30,"PENDIENTE","VIGENTE"))))</f>
        <v/>
      </c>
      <c r="P13" s="49" t="n"/>
      <c r="Q13" s="7" t="n">
        <v>46188</v>
      </c>
      <c r="R13" s="13" t="n">
        <v>5</v>
      </c>
      <c r="S13" s="6">
        <f>IF(R13="","",IFERROR(VLOOKUP(R13, A$9:B$28, 2, FALSE), "No existe"))</f>
        <v/>
      </c>
      <c r="T13" s="9" t="n">
        <v>3367</v>
      </c>
      <c r="U13" s="9" t="n">
        <v>200000</v>
      </c>
      <c r="V13" s="14">
        <f>IF(R13="","",T13+U13)</f>
        <v/>
      </c>
      <c r="W13" s="100" t="n"/>
    </row>
    <row r="14" ht="22.05" customHeight="1" s="32">
      <c r="A14" s="15" t="n">
        <v>6</v>
      </c>
      <c r="B14" s="16" t="inlineStr">
        <is>
          <t>Jorge Gaviria</t>
        </is>
      </c>
      <c r="C14" s="17" t="n">
        <v>46112</v>
      </c>
      <c r="D14" s="17" t="n">
        <v>46188</v>
      </c>
      <c r="E14" s="18">
        <f>IF(C14="","",IF(D14&lt;&gt;"",D14-C14,TODAY()-C14))</f>
        <v/>
      </c>
      <c r="F14" s="19" t="n">
        <v>1000000</v>
      </c>
      <c r="G14" s="20" t="n">
        <v>0.005</v>
      </c>
      <c r="H14" s="19">
        <f>IF(F14="","",ROUND(F14*(G14/30)*(TODAY()-C14),0))</f>
        <v/>
      </c>
      <c r="I14" s="19">
        <f>IF(F14="","",IF(D14&lt;&gt;"",ROUND(F14*(G14/30)*(D14-C14),0),"-"))</f>
        <v/>
      </c>
      <c r="J14" s="19">
        <f>IF(F14="","",SUMIF(R$9:R$40, A14, T$9:T$40))</f>
        <v/>
      </c>
      <c r="K14" s="19">
        <f>IF(F14="","",MAX(0,IF(D14&lt;&gt;"",I14,H14)-J14))</f>
        <v/>
      </c>
      <c r="L14" s="19">
        <f>IF(F14="","",SUMIF(R$9:R$40, A14, U$9:U$40))</f>
        <v/>
      </c>
      <c r="M14" s="19">
        <f>IF(F14="","",MAX(0,F14-L14))</f>
        <v/>
      </c>
      <c r="N14" s="21">
        <f>IF(F14="","",K14+M14)</f>
        <v/>
      </c>
      <c r="O14" s="22">
        <f>IF(F14="","",IF(N14&lt;=0,"PAGADO",IF(D14&lt;&gt;"","PAGADO",IF(E14&gt;30,"PENDIENTE","VIGENTE"))))</f>
        <v/>
      </c>
      <c r="P14" s="49" t="n"/>
      <c r="Q14" s="17" t="n">
        <v>46188</v>
      </c>
      <c r="R14" s="23" t="n">
        <v>6</v>
      </c>
      <c r="S14" s="16">
        <f>IF(R14="","",IFERROR(VLOOKUP(R14, A$9:B$28, 2, FALSE), "No existe"))</f>
        <v/>
      </c>
      <c r="T14" s="19" t="n">
        <v>12667</v>
      </c>
      <c r="U14" s="19" t="n">
        <v>1000000</v>
      </c>
      <c r="V14" s="24">
        <f>IF(R14="","",T14+U14)</f>
        <v/>
      </c>
      <c r="W14" s="100" t="n"/>
    </row>
    <row r="15" ht="22.05" customHeight="1" s="32">
      <c r="A15" s="5" t="n">
        <v>7</v>
      </c>
      <c r="B15" s="6" t="inlineStr">
        <is>
          <t>Jorge Gaviria</t>
        </is>
      </c>
      <c r="C15" s="7" t="n">
        <v>46138</v>
      </c>
      <c r="D15" s="7" t="n">
        <v>46188</v>
      </c>
      <c r="E15" s="8">
        <f>IF(C15="","",IF(D15&lt;&gt;"",D15-C15,TODAY()-C15))</f>
        <v/>
      </c>
      <c r="F15" s="9" t="n">
        <v>100000</v>
      </c>
      <c r="G15" s="10" t="n">
        <v>0.005</v>
      </c>
      <c r="H15" s="9">
        <f>IF(F15="","",ROUND(F15*(G15/30)*(TODAY()-C15),0))</f>
        <v/>
      </c>
      <c r="I15" s="9">
        <f>IF(F15="","",IF(D15&lt;&gt;"",ROUND(F15*(G15/30)*(D15-C15),0),"-"))</f>
        <v/>
      </c>
      <c r="J15" s="9">
        <f>IF(F15="","",SUMIF(R$9:R$40, A15, T$9:T$40))</f>
        <v/>
      </c>
      <c r="K15" s="9">
        <f>IF(F15="","",MAX(0,IF(D15&lt;&gt;"",I15,H15)-J15))</f>
        <v/>
      </c>
      <c r="L15" s="9">
        <f>IF(F15="","",SUMIF(R$9:R$40, A15, U$9:U$40))</f>
        <v/>
      </c>
      <c r="M15" s="9">
        <f>IF(F15="","",MAX(0,F15-L15))</f>
        <v/>
      </c>
      <c r="N15" s="11">
        <f>IF(F15="","",K15+M15)</f>
        <v/>
      </c>
      <c r="O15" s="12">
        <f>IF(F15="","",IF(N15&lt;=0,"PAGADO",IF(D15&lt;&gt;"","PAGADO",IF(E15&gt;30,"PENDIENTE","VIGENTE"))))</f>
        <v/>
      </c>
      <c r="P15" s="49" t="n"/>
      <c r="Q15" s="7" t="n">
        <v>46188</v>
      </c>
      <c r="R15" s="13" t="n">
        <v>7</v>
      </c>
      <c r="S15" s="6">
        <f>IF(R15="","",IFERROR(VLOOKUP(R15, A$9:B$28, 2, FALSE), "No existe"))</f>
        <v/>
      </c>
      <c r="T15" s="9" t="n">
        <v>833</v>
      </c>
      <c r="U15" s="9" t="n">
        <v>100000</v>
      </c>
      <c r="V15" s="14">
        <f>IF(R15="","",T15+U15)</f>
        <v/>
      </c>
      <c r="W15" s="100" t="n"/>
    </row>
    <row r="16" ht="22.05" customHeight="1" s="32">
      <c r="A16" s="15" t="n">
        <v>8</v>
      </c>
      <c r="B16" s="16" t="inlineStr">
        <is>
          <t>Jorge Gaviria</t>
        </is>
      </c>
      <c r="C16" s="17" t="n">
        <v>46143</v>
      </c>
      <c r="D16" s="17" t="n">
        <v>46231</v>
      </c>
      <c r="E16" s="18">
        <f>IF(C16="","",IF(D16&lt;&gt;"",D16-C16,TODAY()-C16))</f>
        <v/>
      </c>
      <c r="F16" s="19" t="n">
        <v>1200000</v>
      </c>
      <c r="G16" s="20" t="n">
        <v>0.005</v>
      </c>
      <c r="H16" s="19">
        <f>IF(F16="","",ROUND(F16*(G16/30)*(TODAY()-C16),0))</f>
        <v/>
      </c>
      <c r="I16" s="19">
        <f>IF(F16="","",IF(D16&lt;&gt;"",ROUND(F16*(G16/30)*(D16-C16),0),"-"))</f>
        <v/>
      </c>
      <c r="J16" s="19">
        <f>IF(F16="","",SUMIF(R$9:R$40, A16, T$9:T$40))</f>
        <v/>
      </c>
      <c r="K16" s="19">
        <f>IF(F16="","",MAX(0,IF(D16&lt;&gt;"",I16,H16)-J16))</f>
        <v/>
      </c>
      <c r="L16" s="19">
        <f>IF(F16="","",SUMIF(R$9:R$40, A16, U$9:U$40))</f>
        <v/>
      </c>
      <c r="M16" s="19">
        <f>IF(F16="","",MAX(0,F16-L16))</f>
        <v/>
      </c>
      <c r="N16" s="21">
        <f>IF(F16="","",K16+M16)</f>
        <v/>
      </c>
      <c r="O16" s="22">
        <f>IF(F16="","",IF(N16&lt;=0,"PAGADO",IF(D16&lt;&gt;"","PAGADO",IF(E16&gt;30,"PENDIENTE","VIGENTE"))))</f>
        <v/>
      </c>
      <c r="P16" s="49" t="n"/>
      <c r="Q16" s="17" t="n">
        <v>46188</v>
      </c>
      <c r="R16" s="23" t="n">
        <v>8</v>
      </c>
      <c r="S16" s="16">
        <f>IF(R16="","",IFERROR(VLOOKUP(R16, A$9:B$28, 2, FALSE), "No existe"))</f>
        <v/>
      </c>
      <c r="T16" s="19" t="n">
        <v>0</v>
      </c>
      <c r="U16" s="19" t="n">
        <v>150266</v>
      </c>
      <c r="V16" s="24">
        <f>IF(R16="","",T16+U16)</f>
        <v/>
      </c>
      <c r="W16" s="101" t="n"/>
    </row>
    <row r="17" ht="22.05" customHeight="1" s="32">
      <c r="A17" s="5" t="n">
        <v>9</v>
      </c>
      <c r="B17" s="6" t="inlineStr">
        <is>
          <t>Jorge Gaviria</t>
        </is>
      </c>
      <c r="C17" s="7" t="n">
        <v>46212</v>
      </c>
      <c r="D17" s="7" t="n">
        <v>46276</v>
      </c>
      <c r="E17" s="8">
        <f>IF(C17="","",IF(D17&lt;&gt;"",D17-C17,TODAY()-C17))</f>
        <v/>
      </c>
      <c r="F17" s="9" t="n">
        <v>1000000</v>
      </c>
      <c r="G17" s="10" t="n">
        <v>0.005</v>
      </c>
      <c r="H17" s="9">
        <f>IF(F17="","",ROUND(F17*(G17/30)*(TODAY()-C17),0))</f>
        <v/>
      </c>
      <c r="I17" s="9">
        <f>IF(F17="","",IF(D17&lt;&gt;"",ROUND(F17*(G17/30)*(D17-C17),0),"-"))</f>
        <v/>
      </c>
      <c r="J17" s="9">
        <f>IF(F17="","",SUMIF(R$9:R$40, A17, T$9:T$40))</f>
        <v/>
      </c>
      <c r="K17" s="9">
        <f>IF(F17="","",MAX(0,IF(D17&lt;&gt;"",I17,H17)-J17))</f>
        <v/>
      </c>
      <c r="L17" s="9">
        <f>IF(F17="","",SUMIF(R$9:R$40, A17, U$9:U$40))</f>
        <v/>
      </c>
      <c r="M17" s="9">
        <f>IF(F17="","",MAX(0,F17-L17))</f>
        <v/>
      </c>
      <c r="N17" s="11">
        <f>IF(F17="","",K17+M17)</f>
        <v/>
      </c>
      <c r="O17" s="12">
        <f>IF(F17="","",IF(N17&lt;=0,"PAGADO",IF(D17&lt;&gt;"","PAGADO",IF(E17&gt;30,"PENDIENTE","VIGENTE"))))</f>
        <v/>
      </c>
      <c r="P17" s="49" t="n"/>
      <c r="Q17" s="7" t="n">
        <v>46231</v>
      </c>
      <c r="R17" s="13" t="n">
        <v>8</v>
      </c>
      <c r="S17" s="6">
        <f>IF(R17="","",IFERROR(VLOOKUP(R17, A$9:B$28, 2, FALSE), "No existe"))</f>
        <v/>
      </c>
      <c r="T17" s="9" t="n">
        <v>17600</v>
      </c>
      <c r="U17" s="9" t="n">
        <v>1049734</v>
      </c>
      <c r="V17" s="14">
        <f>IF(R17="","",T17+U17)</f>
        <v/>
      </c>
      <c r="W17" s="99" t="inlineStr">
        <is>
          <t>Consignacion de $1,200,000 se liquidan creditos viejos de capital e interes</t>
        </is>
      </c>
    </row>
    <row r="18" ht="22.05" customHeight="1" s="32">
      <c r="A18" s="15" t="n">
        <v>10</v>
      </c>
      <c r="B18" s="16" t="inlineStr">
        <is>
          <t>Jorge Gaviria</t>
        </is>
      </c>
      <c r="C18" s="17" t="n">
        <v>46212</v>
      </c>
      <c r="D18" s="17" t="n">
        <v>46276</v>
      </c>
      <c r="E18" s="18">
        <f>IF(C18="","",IF(D18&lt;&gt;"",D18-C18,TODAY()-C18))</f>
        <v/>
      </c>
      <c r="F18" s="19" t="n">
        <v>700000</v>
      </c>
      <c r="G18" s="20" t="n">
        <v>0.005</v>
      </c>
      <c r="H18" s="19">
        <f>IF(F18="","",ROUND(F18*(G18/30)*(TODAY()-C18),0))</f>
        <v/>
      </c>
      <c r="I18" s="19">
        <f>IF(F18="","",IF(D18&lt;&gt;"",ROUND(F18*(G18/30)*(D18-C18),0),"-"))</f>
        <v/>
      </c>
      <c r="J18" s="19">
        <f>IF(F18="","",SUMIF(R$9:R$40, A18, T$9:T$40))</f>
        <v/>
      </c>
      <c r="K18" s="19">
        <f>IF(F18="","",MAX(0,IF(D18&lt;&gt;"",I18,H18)-J18))</f>
        <v/>
      </c>
      <c r="L18" s="19">
        <f>IF(F18="","",SUMIF(R$9:R$40, A18, U$9:U$40))</f>
        <v/>
      </c>
      <c r="M18" s="19">
        <f>IF(F18="","",MAX(0,F18-L18))</f>
        <v/>
      </c>
      <c r="N18" s="21">
        <f>IF(F18="","",K18+M18)</f>
        <v/>
      </c>
      <c r="O18" s="22">
        <f>IF(F18="","",IF(N18&lt;=0,"PAGADO",IF(D18&lt;&gt;"","PAGADO",IF(E18&gt;30,"PENDIENTE","VIGENTE"))))</f>
        <v/>
      </c>
      <c r="P18" s="49" t="n"/>
      <c r="Q18" s="17" t="n">
        <v>46231</v>
      </c>
      <c r="R18" s="23" t="n">
        <v>9</v>
      </c>
      <c r="S18" s="16">
        <f>IF(R18="","",IFERROR(VLOOKUP(R18, A$9:B$28, 2, FALSE), "No existe"))</f>
        <v/>
      </c>
      <c r="T18" s="19" t="n">
        <v>0</v>
      </c>
      <c r="U18" s="19" t="n">
        <v>132166</v>
      </c>
      <c r="V18" s="24">
        <f>IF(R18="","",T18+U18)</f>
        <v/>
      </c>
      <c r="W18" s="101" t="n"/>
    </row>
    <row r="19" ht="22.05" customHeight="1" s="32">
      <c r="A19" s="5" t="n">
        <v>11</v>
      </c>
      <c r="B19" s="6" t="inlineStr">
        <is>
          <t>Jorge Gaviria</t>
        </is>
      </c>
      <c r="C19" s="7" t="n">
        <v>46219</v>
      </c>
      <c r="D19" s="7" t="n">
        <v>46276</v>
      </c>
      <c r="E19" s="8">
        <f>IF(C19="","",IF(D19&lt;&gt;"",D19-C19,TODAY()-C19))</f>
        <v/>
      </c>
      <c r="F19" s="9" t="n">
        <v>1000000</v>
      </c>
      <c r="G19" s="10" t="n">
        <v>0.005</v>
      </c>
      <c r="H19" s="9">
        <f>IF(F19="","",ROUND(F19*(G19/30)*(TODAY()-C19),0))</f>
        <v/>
      </c>
      <c r="I19" s="9">
        <f>IF(F19="","",IF(D19&lt;&gt;"",ROUND(F19*(G19/30)*(D19-C19),0),"-"))</f>
        <v/>
      </c>
      <c r="J19" s="9">
        <f>IF(F19="","",SUMIF(R$9:R$40, A19, T$9:T$40))</f>
        <v/>
      </c>
      <c r="K19" s="9">
        <f>IF(F19="","",MAX(0,IF(D19&lt;&gt;"",I19,H19)-J19))</f>
        <v/>
      </c>
      <c r="L19" s="9">
        <f>IF(F19="","",SUMIF(R$9:R$40, A19, U$9:U$40))</f>
        <v/>
      </c>
      <c r="M19" s="9">
        <f>IF(F19="","",MAX(0,F19-L19))</f>
        <v/>
      </c>
      <c r="N19" s="11">
        <f>IF(F19="","",K19+M19)</f>
        <v/>
      </c>
      <c r="O19" s="12">
        <f>IF(F19="","",IF(N19&lt;=0,"PAGADO",IF(D19&lt;&gt;"","PAGADO",IF(E19&gt;30,"PENDIENTE","VIGENTE"))))</f>
        <v/>
      </c>
      <c r="P19" s="49" t="n"/>
      <c r="Q19" s="7" t="n">
        <v>46276</v>
      </c>
      <c r="R19" s="13" t="n">
        <v>9</v>
      </c>
      <c r="S19" s="6">
        <f>IF(R19="","",IFERROR(VLOOKUP(R19, A$9:B$28, 2, FALSE), "No existe"))</f>
        <v/>
      </c>
      <c r="T19" s="9" t="n">
        <v>10667</v>
      </c>
      <c r="U19" s="9" t="n">
        <v>867834</v>
      </c>
      <c r="V19" s="14">
        <f>IF(R19="","",T19+U19)</f>
        <v/>
      </c>
      <c r="W19" s="99" t="inlineStr">
        <is>
          <t>Consignacion de $3,500,000 se liquidan creditos viejos de capital e intereses</t>
        </is>
      </c>
    </row>
    <row r="20" ht="22.05" customHeight="1" s="32">
      <c r="A20" s="15" t="n">
        <v>12</v>
      </c>
      <c r="B20" s="16" t="inlineStr">
        <is>
          <t>Jorge Gaviria</t>
        </is>
      </c>
      <c r="C20" s="17" t="n">
        <v>46262</v>
      </c>
      <c r="D20" s="17" t="n"/>
      <c r="E20" s="18">
        <f>IF(C20="","",IF(D20&lt;&gt;"",D20-C20,TODAY()-C20))</f>
        <v/>
      </c>
      <c r="F20" s="19" t="n">
        <v>1000000</v>
      </c>
      <c r="G20" s="20" t="n">
        <v>0.005</v>
      </c>
      <c r="H20" s="19">
        <f>IF(F20="","",ROUND(F20*(G20/30)*(TODAY()-C20),0))</f>
        <v/>
      </c>
      <c r="I20" s="19">
        <f>IF(F20="","",IF(D20&lt;&gt;"",ROUND(F20*(G20/30)*(D20-C20),0),"-"))</f>
        <v/>
      </c>
      <c r="J20" s="19">
        <f>IF(F20="","",SUMIF(R$9:R$40, A20, T$9:T$40))</f>
        <v/>
      </c>
      <c r="K20" s="19">
        <f>IF(F20="","",MAX(0,IF(D20&lt;&gt;"",I20,H20)-J20))</f>
        <v/>
      </c>
      <c r="L20" s="19">
        <f>IF(F20="","",SUMIF(R$9:R$40, A20, U$9:U$40))</f>
        <v/>
      </c>
      <c r="M20" s="19">
        <f>IF(F20="","",MAX(0,F20-L20))</f>
        <v/>
      </c>
      <c r="N20" s="21">
        <f>IF(F20="","",K20+M20)</f>
        <v/>
      </c>
      <c r="O20" s="22">
        <f>IF(F20="","",IF(N20&lt;=0,"PAGADO",IF(D20&lt;&gt;"","PAGADO",IF(E20&gt;30,"PENDIENTE","VIGENTE"))))</f>
        <v/>
      </c>
      <c r="P20" s="49" t="n"/>
      <c r="Q20" s="17" t="n">
        <v>46276</v>
      </c>
      <c r="R20" s="23" t="n">
        <v>10</v>
      </c>
      <c r="S20" s="16">
        <f>IF(R20="","",IFERROR(VLOOKUP(R20, A$9:B$28, 2, FALSE), "No existe"))</f>
        <v/>
      </c>
      <c r="T20" s="19" t="n">
        <v>7467</v>
      </c>
      <c r="U20" s="19" t="n">
        <v>700000</v>
      </c>
      <c r="V20" s="24">
        <f>IF(R20="","",T20+U20)</f>
        <v/>
      </c>
      <c r="W20" s="100" t="n"/>
    </row>
    <row r="21" ht="22.05" customHeight="1" s="32">
      <c r="A21" s="5" t="n">
        <v>13</v>
      </c>
      <c r="B21" s="6" t="inlineStr">
        <is>
          <t>Jorge Gaviria</t>
        </is>
      </c>
      <c r="C21" s="7" t="n">
        <v>46295</v>
      </c>
      <c r="D21" s="7" t="n"/>
      <c r="E21" s="8">
        <f>IF(C21="","",IF(D21&lt;&gt;"",D21-C21,TODAY()-C21))</f>
        <v/>
      </c>
      <c r="F21" s="9" t="n">
        <v>1000000</v>
      </c>
      <c r="G21" s="10" t="n">
        <v>0.005</v>
      </c>
      <c r="H21" s="9">
        <f>IF(F21="","",ROUND(F21*(G21/30)*(TODAY()-C21),0))</f>
        <v/>
      </c>
      <c r="I21" s="9">
        <f>IF(F21="","",IF(D21&lt;&gt;"",ROUND(F21*(G21/30)*(D21-C21),0),"-"))</f>
        <v/>
      </c>
      <c r="J21" s="9">
        <f>IF(F21="","",SUMIF(R$9:R$40, A21, T$9:T$40))</f>
        <v/>
      </c>
      <c r="K21" s="9">
        <f>IF(F21="","",MAX(0,IF(D21&lt;&gt;"",I21,H21)-J21))</f>
        <v/>
      </c>
      <c r="L21" s="9">
        <f>IF(F21="","",SUMIF(R$9:R$40, A21, U$9:U$40))</f>
        <v/>
      </c>
      <c r="M21" s="9">
        <f>IF(F21="","",MAX(0,F21-L21))</f>
        <v/>
      </c>
      <c r="N21" s="11">
        <f>IF(F21="","",K21+M21)</f>
        <v/>
      </c>
      <c r="O21" s="12">
        <f>IF(F21="","",IF(N21&lt;=0,"PAGADO",IF(D21&lt;&gt;"","PAGADO",IF(E21&gt;30,"PENDIENTE","VIGENTE"))))</f>
        <v/>
      </c>
      <c r="P21" s="49" t="n"/>
      <c r="Q21" s="7" t="n">
        <v>46276</v>
      </c>
      <c r="R21" s="13" t="n">
        <v>11</v>
      </c>
      <c r="S21" s="6">
        <f>IF(R21="","",IFERROR(VLOOKUP(R21, A$9:B$28, 2, FALSE), "No existe"))</f>
        <v/>
      </c>
      <c r="T21" s="9" t="n">
        <v>9500</v>
      </c>
      <c r="U21" s="9" t="n">
        <v>1000000</v>
      </c>
      <c r="V21" s="14">
        <f>IF(R21="","",T21+U21)</f>
        <v/>
      </c>
      <c r="W21" s="100" t="n"/>
    </row>
    <row r="22" ht="22.05" customHeight="1" s="32">
      <c r="A22" s="15" t="n">
        <v>14</v>
      </c>
      <c r="B22" s="16" t="n"/>
      <c r="C22" s="17" t="n"/>
      <c r="D22" s="17" t="n"/>
      <c r="E22" s="18">
        <f>IF(C22="","",IF(D22&lt;&gt;"",D22-C22,TODAY()-C22))</f>
        <v/>
      </c>
      <c r="F22" s="19" t="n"/>
      <c r="G22" s="20" t="n">
        <v>0.005</v>
      </c>
      <c r="H22" s="19">
        <f>IF(F22="","",ROUND(F22*(G22/30)*(TODAY()-C22),0))</f>
        <v/>
      </c>
      <c r="I22" s="19">
        <f>IF(F22="","",IF(D22&lt;&gt;"",ROUND(F22*(G22/30)*(D22-C22),0),"-"))</f>
        <v/>
      </c>
      <c r="J22" s="19">
        <f>IF(F22="","",SUMIF(R$9:R$40, A22, T$9:T$40))</f>
        <v/>
      </c>
      <c r="K22" s="19">
        <f>IF(F22="","",MAX(0,IF(D22&lt;&gt;"",I22,H22)-J22))</f>
        <v/>
      </c>
      <c r="L22" s="19">
        <f>IF(F22="","",SUMIF(R$9:R$40, A22, U$9:U$40))</f>
        <v/>
      </c>
      <c r="M22" s="19">
        <f>IF(F22="","",MAX(0,F22-L22))</f>
        <v/>
      </c>
      <c r="N22" s="21">
        <f>IF(F22="","",K22+M22)</f>
        <v/>
      </c>
      <c r="O22" s="22">
        <f>IF(F22="","",IF(N22&lt;=0,"PAGADO",IF(D22&lt;&gt;"","PAGADO",IF(E22&gt;30,"PENDIENTE","VIGENTE"))))</f>
        <v/>
      </c>
      <c r="P22" s="49" t="n"/>
      <c r="Q22" s="17" t="n">
        <v>46276</v>
      </c>
      <c r="R22" s="23" t="n">
        <v>12</v>
      </c>
      <c r="S22" s="16">
        <f>IF(R22="","",IFERROR(VLOOKUP(R22, A$9:B$28, 2, FALSE), "No existe"))</f>
        <v/>
      </c>
      <c r="T22" s="19" t="n">
        <v>0</v>
      </c>
      <c r="U22" s="19" t="n">
        <v>904532</v>
      </c>
      <c r="V22" s="24">
        <f>IF(R22="","",T22+U22)</f>
        <v/>
      </c>
      <c r="W22" s="101" t="n"/>
    </row>
    <row r="23" ht="22.05" customHeight="1" s="32">
      <c r="A23" s="5" t="n">
        <v>15</v>
      </c>
      <c r="B23" s="6" t="n"/>
      <c r="C23" s="7" t="n"/>
      <c r="D23" s="7" t="n"/>
      <c r="E23" s="8">
        <f>IF(C23="","",IF(D23&lt;&gt;"",D23-C23,TODAY()-C23))</f>
        <v/>
      </c>
      <c r="F23" s="9" t="n"/>
      <c r="G23" s="10" t="n">
        <v>0.005</v>
      </c>
      <c r="H23" s="9">
        <f>IF(F23="","",ROUND(F23*(G23/30)*(TODAY()-C23),0))</f>
        <v/>
      </c>
      <c r="I23" s="9">
        <f>IF(F23="","",IF(D23&lt;&gt;"",ROUND(F23*(G23/30)*(D23-C23),0),"-"))</f>
        <v/>
      </c>
      <c r="J23" s="9">
        <f>IF(F23="","",SUMIF(R$9:R$40, A23, T$9:T$40))</f>
        <v/>
      </c>
      <c r="K23" s="9">
        <f>IF(F23="","",MAX(0,IF(D23&lt;&gt;"",I23,H23)-J23))</f>
        <v/>
      </c>
      <c r="L23" s="9">
        <f>IF(F23="","",SUMIF(R$9:R$40, A23, U$9:U$40))</f>
        <v/>
      </c>
      <c r="M23" s="9">
        <f>IF(F23="","",MAX(0,F23-L23))</f>
        <v/>
      </c>
      <c r="N23" s="11">
        <f>IF(F23="","",K23+M23)</f>
        <v/>
      </c>
      <c r="O23" s="12">
        <f>IF(F23="","",IF(N23&lt;=0,"PAGADO",IF(D23&lt;&gt;"","PAGADO",IF(E23&gt;30,"PENDIENTE","VIGENTE"))))</f>
        <v/>
      </c>
      <c r="P23" s="49" t="n"/>
      <c r="Q23" s="7" t="n"/>
      <c r="R23" s="13" t="n"/>
      <c r="S23" s="6">
        <f>IF(R23="","",IFERROR(VLOOKUP(R23, A$9:B$28, 2, FALSE), "No existe"))</f>
        <v/>
      </c>
      <c r="T23" s="9" t="n"/>
      <c r="U23" s="9" t="n"/>
      <c r="V23" s="14">
        <f>IF(R23="","",T23+U23)</f>
        <v/>
      </c>
      <c r="W23" s="6" t="n"/>
    </row>
    <row r="24" ht="22.05" customHeight="1" s="32">
      <c r="A24" s="15" t="n">
        <v>16</v>
      </c>
      <c r="B24" s="16" t="n"/>
      <c r="C24" s="17" t="n"/>
      <c r="D24" s="17" t="n"/>
      <c r="E24" s="18">
        <f>IF(C24="","",IF(D24&lt;&gt;"",D24-C24,TODAY()-C24))</f>
        <v/>
      </c>
      <c r="F24" s="19" t="n"/>
      <c r="G24" s="20" t="n">
        <v>0.005</v>
      </c>
      <c r="H24" s="19">
        <f>IF(F24="","",ROUND(F24*(G24/30)*(TODAY()-C24),0))</f>
        <v/>
      </c>
      <c r="I24" s="19">
        <f>IF(F24="","",IF(D24&lt;&gt;"",ROUND(F24*(G24/30)*(D24-C24),0),"-"))</f>
        <v/>
      </c>
      <c r="J24" s="19">
        <f>IF(F24="","",SUMIF(R$9:R$40, A24, T$9:T$40))</f>
        <v/>
      </c>
      <c r="K24" s="19">
        <f>IF(F24="","",MAX(0,IF(D24&lt;&gt;"",I24,H24)-J24))</f>
        <v/>
      </c>
      <c r="L24" s="19">
        <f>IF(F24="","",SUMIF(R$9:R$40, A24, U$9:U$40))</f>
        <v/>
      </c>
      <c r="M24" s="19">
        <f>IF(F24="","",MAX(0,F24-L24))</f>
        <v/>
      </c>
      <c r="N24" s="21">
        <f>IF(F24="","",K24+M24)</f>
        <v/>
      </c>
      <c r="O24" s="22">
        <f>IF(F24="","",IF(N24&lt;=0,"PAGADO",IF(D24&lt;&gt;"","PAGADO",IF(E24&gt;30,"PENDIENTE","VIGENTE"))))</f>
        <v/>
      </c>
      <c r="P24" s="49" t="n"/>
      <c r="Q24" s="17" t="n"/>
      <c r="R24" s="23" t="n"/>
      <c r="S24" s="16">
        <f>IF(R24="","",IFERROR(VLOOKUP(R24, A$9:B$28, 2, FALSE), "No existe"))</f>
        <v/>
      </c>
      <c r="T24" s="19" t="n"/>
      <c r="U24" s="19" t="n"/>
      <c r="V24" s="24">
        <f>IF(R24="","",T24+U24)</f>
        <v/>
      </c>
      <c r="W24" s="16" t="n"/>
    </row>
    <row r="25" ht="22.05" customHeight="1" s="32">
      <c r="A25" s="5" t="n">
        <v>17</v>
      </c>
      <c r="B25" s="6" t="n"/>
      <c r="C25" s="7" t="n"/>
      <c r="D25" s="7" t="n"/>
      <c r="E25" s="8">
        <f>IF(C25="","",IF(D25&lt;&gt;"",D25-C25,TODAY()-C25))</f>
        <v/>
      </c>
      <c r="F25" s="9" t="n"/>
      <c r="G25" s="10" t="n">
        <v>0.005</v>
      </c>
      <c r="H25" s="9">
        <f>IF(F25="","",ROUND(F25*(G25/30)*(TODAY()-C25),0))</f>
        <v/>
      </c>
      <c r="I25" s="9">
        <f>IF(F25="","",IF(D25&lt;&gt;"",ROUND(F25*(G25/30)*(D25-C25),0),"-"))</f>
        <v/>
      </c>
      <c r="J25" s="9">
        <f>IF(F25="","",SUMIF(R$9:R$40, A25, T$9:T$40))</f>
        <v/>
      </c>
      <c r="K25" s="9">
        <f>IF(F25="","",MAX(0,IF(D25&lt;&gt;"",I25,H25)-J25))</f>
        <v/>
      </c>
      <c r="L25" s="9">
        <f>IF(F25="","",SUMIF(R$9:R$40, A25, U$9:U$40))</f>
        <v/>
      </c>
      <c r="M25" s="9">
        <f>IF(F25="","",MAX(0,F25-L25))</f>
        <v/>
      </c>
      <c r="N25" s="11">
        <f>IF(F25="","",K25+M25)</f>
        <v/>
      </c>
      <c r="O25" s="12">
        <f>IF(F25="","",IF(N25&lt;=0,"PAGADO",IF(D25&lt;&gt;"","PAGADO",IF(E25&gt;30,"PENDIENTE","VIGENTE"))))</f>
        <v/>
      </c>
      <c r="P25" s="49" t="n"/>
      <c r="Q25" s="7" t="n"/>
      <c r="R25" s="13" t="n"/>
      <c r="S25" s="6">
        <f>IF(R25="","",IFERROR(VLOOKUP(R25, A$9:B$28, 2, FALSE), "No existe"))</f>
        <v/>
      </c>
      <c r="T25" s="9" t="n"/>
      <c r="U25" s="9" t="n"/>
      <c r="V25" s="14">
        <f>IF(R25="","",T25+U25)</f>
        <v/>
      </c>
      <c r="W25" s="6" t="n"/>
    </row>
    <row r="26" ht="22.05" customHeight="1" s="32">
      <c r="A26" s="15" t="n">
        <v>18</v>
      </c>
      <c r="B26" s="16" t="n"/>
      <c r="C26" s="17" t="n"/>
      <c r="D26" s="17" t="n"/>
      <c r="E26" s="18">
        <f>IF(C26="","",IF(D26&lt;&gt;"",D26-C26,TODAY()-C26))</f>
        <v/>
      </c>
      <c r="F26" s="19" t="n"/>
      <c r="G26" s="20" t="n">
        <v>0.005</v>
      </c>
      <c r="H26" s="19">
        <f>IF(F26="","",ROUND(F26*(G26/30)*(TODAY()-C26),0))</f>
        <v/>
      </c>
      <c r="I26" s="19">
        <f>IF(F26="","",IF(D26&lt;&gt;"",ROUND(F26*(G26/30)*(D26-C26),0),"-"))</f>
        <v/>
      </c>
      <c r="J26" s="19">
        <f>IF(F26="","",SUMIF(R$9:R$40, A26, T$9:T$40))</f>
        <v/>
      </c>
      <c r="K26" s="19">
        <f>IF(F26="","",MAX(0,IF(D26&lt;&gt;"",I26,H26)-J26))</f>
        <v/>
      </c>
      <c r="L26" s="19">
        <f>IF(F26="","",SUMIF(R$9:R$40, A26, U$9:U$40))</f>
        <v/>
      </c>
      <c r="M26" s="19">
        <f>IF(F26="","",MAX(0,F26-L26))</f>
        <v/>
      </c>
      <c r="N26" s="21">
        <f>IF(F26="","",K26+M26)</f>
        <v/>
      </c>
      <c r="O26" s="22">
        <f>IF(F26="","",IF(N26&lt;=0,"PAGADO",IF(D26&lt;&gt;"","PAGADO",IF(E26&gt;30,"PENDIENTE","VIGENTE"))))</f>
        <v/>
      </c>
      <c r="P26" s="49" t="n"/>
      <c r="Q26" s="17" t="n"/>
      <c r="R26" s="23" t="n"/>
      <c r="S26" s="16">
        <f>IF(R26="","",IFERROR(VLOOKUP(R26, A$9:B$28, 2, FALSE), "No existe"))</f>
        <v/>
      </c>
      <c r="T26" s="19" t="n"/>
      <c r="U26" s="19" t="n"/>
      <c r="V26" s="24">
        <f>IF(R26="","",T26+U26)</f>
        <v/>
      </c>
      <c r="W26" s="16" t="n"/>
    </row>
    <row r="27" ht="22.05" customHeight="1" s="32">
      <c r="A27" s="5" t="n">
        <v>19</v>
      </c>
      <c r="B27" s="6" t="n"/>
      <c r="C27" s="7" t="n"/>
      <c r="D27" s="7" t="n"/>
      <c r="E27" s="8">
        <f>IF(C27="","",IF(D27&lt;&gt;"",D27-C27,TODAY()-C27))</f>
        <v/>
      </c>
      <c r="F27" s="9" t="n"/>
      <c r="G27" s="10" t="n">
        <v>0.005</v>
      </c>
      <c r="H27" s="9">
        <f>IF(F27="","",ROUND(F27*(G27/30)*(TODAY()-C27),0))</f>
        <v/>
      </c>
      <c r="I27" s="9">
        <f>IF(F27="","",IF(D27&lt;&gt;"",ROUND(F27*(G27/30)*(D27-C27),0),"-"))</f>
        <v/>
      </c>
      <c r="J27" s="9">
        <f>IF(F27="","",SUMIF(R$9:R$40, A27, T$9:T$40))</f>
        <v/>
      </c>
      <c r="K27" s="9">
        <f>IF(F27="","",MAX(0,IF(D27&lt;&gt;"",I27,H27)-J27))</f>
        <v/>
      </c>
      <c r="L27" s="9">
        <f>IF(F27="","",SUMIF(R$9:R$40, A27, U$9:U$40))</f>
        <v/>
      </c>
      <c r="M27" s="9">
        <f>IF(F27="","",MAX(0,F27-L27))</f>
        <v/>
      </c>
      <c r="N27" s="11">
        <f>IF(F27="","",K27+M27)</f>
        <v/>
      </c>
      <c r="O27" s="12">
        <f>IF(F27="","",IF(N27&lt;=0,"PAGADO",IF(D27&lt;&gt;"","PAGADO",IF(E27&gt;30,"PENDIENTE","VIGENTE"))))</f>
        <v/>
      </c>
      <c r="P27" s="49" t="n"/>
      <c r="Q27" s="7" t="n"/>
      <c r="R27" s="13" t="n"/>
      <c r="S27" s="6">
        <f>IF(R27="","",IFERROR(VLOOKUP(R27, A$9:B$28, 2, FALSE), "No existe"))</f>
        <v/>
      </c>
      <c r="T27" s="9" t="n"/>
      <c r="U27" s="9" t="n"/>
      <c r="V27" s="14">
        <f>IF(R27="","",T27+U27)</f>
        <v/>
      </c>
      <c r="W27" s="6" t="n"/>
    </row>
    <row r="28" ht="22.05" customHeight="1" s="32">
      <c r="A28" s="15" t="n">
        <v>20</v>
      </c>
      <c r="B28" s="16" t="n"/>
      <c r="C28" s="17" t="n"/>
      <c r="D28" s="17" t="n"/>
      <c r="E28" s="18">
        <f>IF(C28="","",IF(D28&lt;&gt;"",D28-C28,TODAY()-C28))</f>
        <v/>
      </c>
      <c r="F28" s="19" t="n"/>
      <c r="G28" s="20" t="n">
        <v>0.005</v>
      </c>
      <c r="H28" s="19">
        <f>IF(F28="","",ROUND(F28*(G28/30)*(TODAY()-C28),0))</f>
        <v/>
      </c>
      <c r="I28" s="19">
        <f>IF(F28="","",IF(D28&lt;&gt;"",ROUND(F28*(G28/30)*(D28-C28),0),"-"))</f>
        <v/>
      </c>
      <c r="J28" s="19">
        <f>IF(F28="","",SUMIF(R$9:R$40, A28, T$9:T$40))</f>
        <v/>
      </c>
      <c r="K28" s="19">
        <f>IF(F28="","",MAX(0,IF(D28&lt;&gt;"",I28,H28)-J28))</f>
        <v/>
      </c>
      <c r="L28" s="19">
        <f>IF(F28="","",SUMIF(R$9:R$40, A28, U$9:U$40))</f>
        <v/>
      </c>
      <c r="M28" s="19">
        <f>IF(F28="","",MAX(0,F28-L28))</f>
        <v/>
      </c>
      <c r="N28" s="21">
        <f>IF(F28="","",K28+M28)</f>
        <v/>
      </c>
      <c r="O28" s="22">
        <f>IF(F28="","",IF(N28&lt;=0,"PAGADO",IF(D28&lt;&gt;"","PAGADO",IF(E28&gt;30,"PENDIENTE","VIGENTE"))))</f>
        <v/>
      </c>
      <c r="P28" s="49" t="n"/>
      <c r="Q28" s="17" t="n"/>
      <c r="R28" s="23" t="n"/>
      <c r="S28" s="16">
        <f>IF(R28="","",IFERROR(VLOOKUP(R28, A$9:B$28, 2, FALSE), "No existe"))</f>
        <v/>
      </c>
      <c r="T28" s="19" t="n"/>
      <c r="U28" s="19" t="n"/>
      <c r="V28" s="24">
        <f>IF(R28="","",T28+U28)</f>
        <v/>
      </c>
      <c r="W28" s="16" t="n"/>
    </row>
    <row r="29" ht="22.05" customHeight="1" s="32" thickBot="1">
      <c r="A29" s="35" t="inlineStr">
        <is>
          <t>TOTAL GENERAL CRÉDITOS</t>
        </is>
      </c>
      <c r="B29" s="102" t="n"/>
      <c r="C29" s="102" t="n"/>
      <c r="D29" s="102" t="n"/>
      <c r="E29" s="103" t="n"/>
      <c r="F29" s="25">
        <f>SUM(F9:F28)</f>
        <v/>
      </c>
      <c r="G29" s="26" t="n"/>
      <c r="H29" s="25">
        <f>SUM(H9:H28)</f>
        <v/>
      </c>
      <c r="I29" s="25">
        <f>SUM(I9:I28)</f>
        <v/>
      </c>
      <c r="J29" s="25">
        <f>SUM(J9:J28)</f>
        <v/>
      </c>
      <c r="K29" s="25">
        <f>SUM(K9:K28)</f>
        <v/>
      </c>
      <c r="L29" s="25">
        <f>SUM(L9:L28)</f>
        <v/>
      </c>
      <c r="M29" s="25">
        <f>SUM(M9:M28)</f>
        <v/>
      </c>
      <c r="N29" s="25">
        <f>SUM(N9:N28)</f>
        <v/>
      </c>
      <c r="O29" s="26" t="n"/>
      <c r="P29" s="49" t="n"/>
      <c r="Q29" s="7" t="n"/>
      <c r="R29" s="13" t="n"/>
      <c r="S29" s="6">
        <f>IF(R29="","",IFERROR(VLOOKUP(R29, A$9:B$28, 2, FALSE), "No existe"))</f>
        <v/>
      </c>
      <c r="T29" s="9" t="n"/>
      <c r="U29" s="9" t="n"/>
      <c r="V29" s="14">
        <f>IF(R29="","",T29+U29)</f>
        <v/>
      </c>
      <c r="W29" s="6" t="n"/>
    </row>
    <row r="30" ht="22.05" customHeight="1" s="32">
      <c r="P30" s="49" t="n"/>
      <c r="Q30" s="17" t="n"/>
      <c r="R30" s="23" t="n"/>
      <c r="S30" s="16">
        <f>IF(R30="","",IFERROR(VLOOKUP(R30, A$9:B$28, 2, FALSE), "No existe"))</f>
        <v/>
      </c>
      <c r="T30" s="19" t="n"/>
      <c r="U30" s="19" t="n"/>
      <c r="V30" s="24">
        <f>IF(R30="","",T30+U30)</f>
        <v/>
      </c>
      <c r="W30" s="16" t="n"/>
    </row>
    <row r="31" ht="22.05" customHeight="1" s="32">
      <c r="P31" s="49" t="n"/>
      <c r="Q31" s="7" t="n"/>
      <c r="R31" s="13" t="n"/>
      <c r="S31" s="6">
        <f>IF(R31="","",IFERROR(VLOOKUP(R31, A$9:B$28, 2, FALSE), "No existe"))</f>
        <v/>
      </c>
      <c r="T31" s="9" t="n"/>
      <c r="U31" s="9" t="n"/>
      <c r="V31" s="14">
        <f>IF(R31="","",T31+U31)</f>
        <v/>
      </c>
      <c r="W31" s="6" t="n"/>
    </row>
    <row r="32" ht="22.05" customHeight="1" s="32">
      <c r="P32" s="49" t="n"/>
      <c r="Q32" s="17" t="n"/>
      <c r="R32" s="23" t="n"/>
      <c r="S32" s="16">
        <f>IF(R32="","",IFERROR(VLOOKUP(R32, A$9:B$28, 2, FALSE), "No existe"))</f>
        <v/>
      </c>
      <c r="T32" s="19" t="n"/>
      <c r="U32" s="19" t="n"/>
      <c r="V32" s="24">
        <f>IF(R32="","",T32+U32)</f>
        <v/>
      </c>
      <c r="W32" s="16" t="n"/>
    </row>
    <row r="33" ht="22.05" customHeight="1" s="32">
      <c r="P33" s="49" t="n"/>
      <c r="Q33" s="7" t="n"/>
      <c r="R33" s="13" t="n"/>
      <c r="S33" s="6">
        <f>IF(R33="","",IFERROR(VLOOKUP(R33, A$9:B$28, 2, FALSE), "No existe"))</f>
        <v/>
      </c>
      <c r="T33" s="9" t="n"/>
      <c r="U33" s="9" t="n"/>
      <c r="V33" s="14">
        <f>IF(R33="","",T33+U33)</f>
        <v/>
      </c>
      <c r="W33" s="6" t="n"/>
    </row>
    <row r="34" ht="22.05" customHeight="1" s="32">
      <c r="P34" s="49" t="n"/>
      <c r="Q34" s="17" t="n"/>
      <c r="R34" s="23" t="n"/>
      <c r="S34" s="16">
        <f>IF(R34="","",IFERROR(VLOOKUP(R34, A$9:B$28, 2, FALSE), "No existe"))</f>
        <v/>
      </c>
      <c r="T34" s="19" t="n"/>
      <c r="U34" s="19" t="n"/>
      <c r="V34" s="24">
        <f>IF(R34="","",T34+U34)</f>
        <v/>
      </c>
      <c r="W34" s="16" t="n"/>
    </row>
    <row r="35" ht="22.05" customHeight="1" s="32">
      <c r="P35" s="49" t="n"/>
      <c r="Q35" s="7" t="n"/>
      <c r="R35" s="13" t="n"/>
      <c r="S35" s="6">
        <f>IF(R35="","",IFERROR(VLOOKUP(R35, A$9:B$28, 2, FALSE), "No existe"))</f>
        <v/>
      </c>
      <c r="T35" s="9" t="n"/>
      <c r="U35" s="9" t="n"/>
      <c r="V35" s="14">
        <f>IF(R35="","",T35+U35)</f>
        <v/>
      </c>
      <c r="W35" s="6" t="n"/>
    </row>
    <row r="36" ht="22.05" customHeight="1" s="32">
      <c r="P36" s="49" t="n"/>
      <c r="Q36" s="17" t="n"/>
      <c r="R36" s="23" t="n"/>
      <c r="S36" s="16">
        <f>IF(R36="","",IFERROR(VLOOKUP(R36, A$9:B$28, 2, FALSE), "No existe"))</f>
        <v/>
      </c>
      <c r="T36" s="19" t="n"/>
      <c r="U36" s="19" t="n"/>
      <c r="V36" s="24">
        <f>IF(R36="","",T36+U36)</f>
        <v/>
      </c>
      <c r="W36" s="16" t="n"/>
    </row>
    <row r="37" ht="22.05" customHeight="1" s="32">
      <c r="P37" s="49" t="n"/>
      <c r="Q37" s="7" t="n"/>
      <c r="R37" s="13" t="n"/>
      <c r="S37" s="6">
        <f>IF(R37="","",IFERROR(VLOOKUP(R37, A$9:B$28, 2, FALSE), "No existe"))</f>
        <v/>
      </c>
      <c r="T37" s="9" t="n"/>
      <c r="U37" s="9" t="n"/>
      <c r="V37" s="14">
        <f>IF(R37="","",T37+U37)</f>
        <v/>
      </c>
      <c r="W37" s="6" t="n"/>
    </row>
    <row r="38" ht="22.05" customHeight="1" s="32">
      <c r="P38" s="49" t="n"/>
      <c r="Q38" s="17" t="n"/>
      <c r="R38" s="23" t="n"/>
      <c r="S38" s="16">
        <f>IF(R38="","",IFERROR(VLOOKUP(R38, A$9:B$28, 2, FALSE), "No existe"))</f>
        <v/>
      </c>
      <c r="T38" s="19" t="n"/>
      <c r="U38" s="19" t="n"/>
      <c r="V38" s="24">
        <f>IF(R38="","",T38+U38)</f>
        <v/>
      </c>
      <c r="W38" s="16" t="n"/>
    </row>
    <row r="39" ht="22.05" customHeight="1" s="32">
      <c r="P39" s="49" t="n"/>
      <c r="Q39" s="7" t="n"/>
      <c r="R39" s="13" t="n"/>
      <c r="S39" s="6">
        <f>IF(R39="","",IFERROR(VLOOKUP(R39, A$9:B$28, 2, FALSE), "No existe"))</f>
        <v/>
      </c>
      <c r="T39" s="9" t="n"/>
      <c r="U39" s="9" t="n"/>
      <c r="V39" s="14">
        <f>IF(R39="","",T39+U39)</f>
        <v/>
      </c>
      <c r="W39" s="6" t="n"/>
    </row>
    <row r="40" ht="22.05" customHeight="1" s="32">
      <c r="P40" s="49" t="n"/>
      <c r="Q40" s="17" t="n"/>
      <c r="R40" s="23" t="n"/>
      <c r="S40" s="16">
        <f>IF(R40="","",IFERROR(VLOOKUP(R40, A$9:B$28, 2, FALSE), "No existe"))</f>
        <v/>
      </c>
      <c r="T40" s="19" t="n"/>
      <c r="U40" s="19" t="n"/>
      <c r="V40" s="24">
        <f>IF(R40="","",T40+U40)</f>
        <v/>
      </c>
      <c r="W40" s="16" t="n"/>
    </row>
    <row r="41" ht="28.05" customHeight="1" s="32" thickBot="1">
      <c r="P41" s="49" t="n"/>
      <c r="Q41" s="37" t="inlineStr">
        <is>
          <t>TOTAL ABONOS REGISTRADOS</t>
        </is>
      </c>
      <c r="R41" s="104" t="n"/>
      <c r="S41" s="105" t="n"/>
      <c r="T41" s="27">
        <f>SUM(T9:T40)</f>
        <v/>
      </c>
      <c r="U41" s="27">
        <f>SUM(U9:U40)</f>
        <v/>
      </c>
      <c r="V41" s="27">
        <f>SUM(V9:V40)</f>
        <v/>
      </c>
      <c r="W41" s="28" t="n"/>
    </row>
    <row r="42">
      <c r="P42" s="49" t="n"/>
    </row>
    <row r="43">
      <c r="P43" s="49" t="n"/>
    </row>
    <row r="44" ht="25.95" customHeight="1" s="32">
      <c r="A44" s="39" t="inlineStr">
        <is>
          <t>💡 GUÍA DE USO PARA SANTIAGO: CÓMO CONGELAR INTERESES A LA FECHA DE PAGO</t>
        </is>
      </c>
    </row>
    <row r="45" ht="19.95" customHeight="1" s="32">
      <c r="A45" s="29" t="inlineStr">
        <is>
          <t>✔</t>
        </is>
      </c>
      <c r="B45" s="31" t="inlineStr">
        <is>
          <t>1. Casilla 'Fecha Pago / Liquidación' (Columna D): Cuando una persona termine de pagar o liquide el crédito, anotas la fecha exacta en la Columna D. Mientras el crédito siga activo, deja esta casilla vacía.</t>
        </is>
      </c>
    </row>
    <row r="46" ht="19.95" customHeight="1" s="32">
      <c r="A46" s="29" t="inlineStr">
        <is>
          <t>✔</t>
        </is>
      </c>
      <c r="B46" s="31" t="inlineStr">
        <is>
          <t>2. Casilla 'Intereses a Fecha Pago' (Columna I): Al colocar la fecha de pago en la columna D, esta casilla calcula los intereses EXACTOS generados desde la fecha inicial hasta ese día específico, y se CONGELA. Ya no sumará más días ni intereses fantasmas.</t>
        </is>
      </c>
    </row>
    <row r="47" ht="19.95" customHeight="1" s="32">
      <c r="A47" s="29" t="inlineStr">
        <is>
          <t>✔</t>
        </is>
      </c>
      <c r="B47" s="31" t="inlineStr">
        <is>
          <t>3. Casilla 'Intereses a Hoy' (Columna H): Para créditos abiertos (sin fecha de pago), esta casilla sigue corriendo en vivo hasta HOY gracias a la fórmula =HOY(), permitiéndote saber cuánto debe al momento de abrir el archivo.</t>
        </is>
      </c>
    </row>
    <row r="48" ht="19.95" customHeight="1" s="32">
      <c r="A48" s="29" t="inlineStr">
        <is>
          <t>✔</t>
        </is>
      </c>
      <c r="B48" s="31" t="inlineStr">
        <is>
          <t>4. Saldo y Liquidación Definitiva (Columna K): La fórmula del Saldo de Interés detecta automáticamente si el crédito ya se canceló: si tiene fecha de pago, liquida contra los intereses congelados; si está abierto, liquida contra los intereses de hoy.</t>
        </is>
      </c>
    </row>
    <row r="49" ht="19.95" customHeight="1" s="32">
      <c r="A49" s="29" t="inlineStr">
        <is>
          <t>✔</t>
        </is>
      </c>
      <c r="B49" s="31" t="inlineStr">
        <is>
          <t>5. Registro de Múltiples Abonos (Lado Derecho): Todos los abonos parciales (sean 1, 2, 5 o más) se siguen registrando en la tabla derecha (Columnas Q a W) con su fecha y medio de pago, y se suman solos a la izquierda.</t>
        </is>
      </c>
    </row>
  </sheetData>
  <mergeCells count="34">
    <mergeCell ref="S4:T4"/>
    <mergeCell ref="F4:G4"/>
    <mergeCell ref="A7:O7"/>
    <mergeCell ref="A44:W44"/>
    <mergeCell ref="J5:K5"/>
    <mergeCell ref="B49:W49"/>
    <mergeCell ref="H4:I4"/>
    <mergeCell ref="A1:W1"/>
    <mergeCell ref="B45:W45"/>
    <mergeCell ref="Q5:R5"/>
    <mergeCell ref="F5:G5"/>
    <mergeCell ref="Q7:W7"/>
    <mergeCell ref="Q4:R4"/>
    <mergeCell ref="B47:W47"/>
    <mergeCell ref="J4:K4"/>
    <mergeCell ref="U5:W5"/>
    <mergeCell ref="Q41:S41"/>
    <mergeCell ref="B46:W46"/>
    <mergeCell ref="U4:W4"/>
    <mergeCell ref="W17:W18"/>
    <mergeCell ref="D4:E4"/>
    <mergeCell ref="A2:W2"/>
    <mergeCell ref="B48:W48"/>
    <mergeCell ref="L5:O5"/>
    <mergeCell ref="A29:E29"/>
    <mergeCell ref="B3:D3"/>
    <mergeCell ref="B4:C4"/>
    <mergeCell ref="B5:C5"/>
    <mergeCell ref="S5:T5"/>
    <mergeCell ref="D5:E5"/>
    <mergeCell ref="L4:O4"/>
    <mergeCell ref="H5:I5"/>
    <mergeCell ref="W9:W16"/>
    <mergeCell ref="W19:W22"/>
  </mergeCells>
  <conditionalFormatting sqref="O9:O28">
    <cfRule type="cellIs" priority="1" operator="equal" dxfId="2" stopIfTrue="1">
      <formula>"PAGADO"</formula>
    </cfRule>
    <cfRule type="cellIs" priority="2" operator="equal" dxfId="1" stopIfTrue="1">
      <formula>"PENDIENTE"</formula>
    </cfRule>
    <cfRule type="cellIs" priority="3" operator="equal" dxfId="0" stopIfTrue="1">
      <formula>"VIGENTE"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U19" sqref="U19"/>
    </sheetView>
  </sheetViews>
  <sheetFormatPr baseColWidth="10" defaultColWidth="8.88671875" defaultRowHeight="14.4"/>
  <cols>
    <col width="5" customWidth="1" style="32" min="1" max="1"/>
    <col width="15.77734375" customWidth="1" style="32" min="2" max="2"/>
    <col width="13" customWidth="1" style="32" min="3" max="3"/>
    <col width="15" customWidth="1" style="32" min="4" max="4"/>
    <col width="7" customWidth="1" style="32" min="5" max="5"/>
    <col width="16" customWidth="1" style="32" min="6" max="6"/>
    <col width="10" customWidth="1" style="32" min="7" max="7"/>
    <col width="16" customWidth="1" style="32" min="8" max="10"/>
    <col width="14" customWidth="1" style="32" min="11" max="11"/>
    <col width="16" customWidth="1" style="32" min="12" max="12"/>
    <col width="15" customWidth="1" style="32" min="13" max="13"/>
    <col width="16" customWidth="1" style="32" min="14" max="14"/>
    <col width="12" customWidth="1" style="32" min="15" max="15"/>
    <col width="3" customWidth="1" style="32" min="16" max="16"/>
    <col width="13" customWidth="1" style="32" min="17" max="17"/>
    <col width="10" customWidth="1" style="32" min="18" max="18"/>
    <col width="24" customWidth="1" style="32" min="19" max="19"/>
    <col width="16" customWidth="1" style="32" min="20" max="21"/>
    <col width="15" customWidth="1" style="32" min="22" max="22"/>
    <col width="24.77734375" customWidth="1" style="32" min="23" max="23"/>
  </cols>
  <sheetData>
    <row r="1" ht="42" customHeight="1" s="32">
      <c r="A1" s="48" t="inlineStr">
        <is>
          <t>💰 SISTEMA DE CONTROL DE CRÉDITOS, INTERESES CONGELADOS A FECHA DE PAGO Y ABONOS - NATILLERA</t>
        </is>
      </c>
    </row>
    <row r="2" ht="22.05" customHeight="1" s="32">
      <c r="A2" s="50" t="inlineStr">
        <is>
          <t>Administrador: Santiago | Actualización Automática con =HOY() | Los intereses se congelan a la Fecha de Pago para no seguir acumulando cobros</t>
        </is>
      </c>
    </row>
    <row r="3" ht="24" customHeight="1" s="32">
      <c r="B3" s="109">
        <f>HYPERLINK("#Dashboard!A1", "⬅ VOLVER AL DASHBOARD GLOBAL")</f>
        <v/>
      </c>
      <c r="P3" s="49" t="n"/>
    </row>
    <row r="4" ht="19.05" customHeight="1" s="32">
      <c r="B4" s="51" t="inlineStr">
        <is>
          <t>FECHA DE HOY</t>
        </is>
      </c>
      <c r="C4" s="97" t="n"/>
      <c r="D4" s="51" t="inlineStr">
        <is>
          <t>TOTAL PRESTADO</t>
        </is>
      </c>
      <c r="E4" s="97" t="n"/>
      <c r="F4" s="52" t="inlineStr">
        <is>
          <t>CAPITAL EN LA CALLE</t>
        </is>
      </c>
      <c r="G4" s="97" t="n"/>
      <c r="H4" s="51" t="inlineStr">
        <is>
          <t>INTERESES A FECHA DE PAGO</t>
        </is>
      </c>
      <c r="I4" s="97" t="n"/>
      <c r="J4" s="53" t="inlineStr">
        <is>
          <t>INTERESES POR COBRAR</t>
        </is>
      </c>
      <c r="K4" s="97" t="n"/>
      <c r="L4" s="40" t="inlineStr">
        <is>
          <t>TOTAL POR COBRAR GENERAL</t>
        </is>
      </c>
      <c r="M4" s="98" t="n"/>
      <c r="N4" s="98" t="n"/>
      <c r="O4" s="97" t="n"/>
      <c r="P4" s="49" t="n"/>
      <c r="Q4" s="54" t="inlineStr">
        <is>
          <t>ABONOS A INTERÉS</t>
        </is>
      </c>
      <c r="R4" s="97" t="n"/>
      <c r="S4" s="54" t="inlineStr">
        <is>
          <t>ABONOS A CAPITAL</t>
        </is>
      </c>
      <c r="T4" s="97" t="n"/>
      <c r="U4" s="40" t="inlineStr">
        <is>
          <t>TOTAL RECAUDADO EN ABONOS</t>
        </is>
      </c>
      <c r="V4" s="98" t="n"/>
      <c r="W4" s="97" t="n"/>
    </row>
    <row r="5" ht="28.05" customHeight="1" s="32">
      <c r="B5" s="42">
        <f>TODAY()</f>
        <v/>
      </c>
      <c r="C5" s="97" t="n"/>
      <c r="D5" s="43">
        <f>F29</f>
        <v/>
      </c>
      <c r="E5" s="97" t="n"/>
      <c r="F5" s="44">
        <f>M29</f>
        <v/>
      </c>
      <c r="G5" s="97" t="n"/>
      <c r="H5" s="43">
        <f>I29</f>
        <v/>
      </c>
      <c r="I5" s="97" t="n"/>
      <c r="J5" s="45">
        <f>K29</f>
        <v/>
      </c>
      <c r="K5" s="97" t="n"/>
      <c r="L5" s="46">
        <f>N29</f>
        <v/>
      </c>
      <c r="M5" s="98" t="n"/>
      <c r="N5" s="98" t="n"/>
      <c r="O5" s="97" t="n"/>
      <c r="P5" s="49" t="n"/>
      <c r="Q5" s="47">
        <f>I29</f>
        <v/>
      </c>
      <c r="R5" s="97" t="n"/>
      <c r="S5" s="47">
        <f>L29</f>
        <v/>
      </c>
      <c r="T5" s="97" t="n"/>
      <c r="U5" s="46">
        <f>Q5+S5</f>
        <v/>
      </c>
      <c r="V5" s="98" t="n"/>
      <c r="W5" s="97" t="n"/>
    </row>
    <row r="6">
      <c r="P6" s="49" t="n"/>
    </row>
    <row r="7" ht="25.05" customHeight="1" s="32">
      <c r="A7" s="33" t="inlineStr">
        <is>
          <t>📋 TABLA DE CRÉDITOS Y LIQUIDACIÓN (Con congelamiento de intereses a la fecha de pago)</t>
        </is>
      </c>
      <c r="P7" s="49" t="n"/>
      <c r="Q7" s="34" t="inlineStr">
        <is>
          <t>💳 REGISTRO DE ABONOS RECIBIDOS (Permite múltiples pagos por crédito)</t>
        </is>
      </c>
    </row>
    <row r="8" ht="31.95" customHeight="1" s="32">
      <c r="A8" s="2" t="inlineStr">
        <is>
          <t>N°</t>
        </is>
      </c>
      <c r="B8" s="2" t="inlineStr">
        <is>
          <t>Nombre del Socio / Deudor</t>
        </is>
      </c>
      <c r="C8" s="2" t="inlineStr">
        <is>
          <t>Fecha Crédito</t>
        </is>
      </c>
      <c r="D8" s="3" t="inlineStr">
        <is>
          <t>Fecha Pago / Liquidación</t>
        </is>
      </c>
      <c r="E8" s="2" t="inlineStr">
        <is>
          <t>Días</t>
        </is>
      </c>
      <c r="F8" s="2" t="inlineStr">
        <is>
          <t>Valor Crédito (Capital)</t>
        </is>
      </c>
      <c r="G8" s="2" t="inlineStr">
        <is>
          <t>Tasa Mes</t>
        </is>
      </c>
      <c r="H8" s="2" t="inlineStr">
        <is>
          <t>Intereses a Hoy (En Vivo)</t>
        </is>
      </c>
      <c r="I8" s="3" t="inlineStr">
        <is>
          <t>Intereses a Fecha Pago</t>
        </is>
      </c>
      <c r="J8" s="2" t="inlineStr">
        <is>
          <t>Total Abono Interés</t>
        </is>
      </c>
      <c r="K8" s="2" t="inlineStr">
        <is>
          <t>Saldo Interés</t>
        </is>
      </c>
      <c r="L8" s="2" t="inlineStr">
        <is>
          <t>Total Abono Capital</t>
        </is>
      </c>
      <c r="M8" s="2" t="inlineStr">
        <is>
          <t>Saldo Capital</t>
        </is>
      </c>
      <c r="N8" s="2" t="inlineStr">
        <is>
          <t>Total a Pagar Hoy</t>
        </is>
      </c>
      <c r="O8" s="2" t="inlineStr">
        <is>
          <t>Estado</t>
        </is>
      </c>
      <c r="P8" s="49" t="n"/>
      <c r="Q8" s="4" t="inlineStr">
        <is>
          <t>Fecha Pago</t>
        </is>
      </c>
      <c r="R8" s="4" t="inlineStr">
        <is>
          <t>N° Crédito</t>
        </is>
      </c>
      <c r="S8" s="4" t="inlineStr">
        <is>
          <t>Socio (Automático)</t>
        </is>
      </c>
      <c r="T8" s="4" t="inlineStr">
        <is>
          <t>Abono a Intereses</t>
        </is>
      </c>
      <c r="U8" s="4" t="inlineStr">
        <is>
          <t>Abono a Capital</t>
        </is>
      </c>
      <c r="V8" s="4" t="inlineStr">
        <is>
          <t>Total Abonado</t>
        </is>
      </c>
      <c r="W8" s="4" t="inlineStr">
        <is>
          <t>Medio / Comprobante</t>
        </is>
      </c>
    </row>
    <row r="9" ht="22.05" customHeight="1" s="32">
      <c r="A9" s="5" t="n">
        <v>1</v>
      </c>
      <c r="B9" s="6" t="inlineStr">
        <is>
          <t>Caro Rios</t>
        </is>
      </c>
      <c r="C9" s="7" t="n">
        <v>46072</v>
      </c>
      <c r="D9" s="7" t="n">
        <v>46098</v>
      </c>
      <c r="E9" s="8">
        <f>IF(C9="","",IF(D9&lt;&gt;"",D9-C9,TODAY()-C9))</f>
        <v/>
      </c>
      <c r="F9" s="9" t="n">
        <v>400000</v>
      </c>
      <c r="G9" s="10" t="n">
        <v>0.005</v>
      </c>
      <c r="H9" s="9">
        <f>IF(F9="","",ROUND(F9*(G9/30)*(TODAY()-C9),0))</f>
        <v/>
      </c>
      <c r="I9" s="19">
        <f>IF(F9="","",IF(D9&lt;&gt;"",ROUND(F9*(G9/30)*(D9-C9),0),"-"))</f>
        <v/>
      </c>
      <c r="J9" s="9">
        <f>IF(F9="","",SUMIF(R$9:R$40, A9, T$9:T$40))</f>
        <v/>
      </c>
      <c r="K9" s="9">
        <f>IF(F9="","",MAX(0,IF(D9&lt;&gt;"",I9,H9)-J9))</f>
        <v/>
      </c>
      <c r="L9" s="9">
        <f>IF(F9="","",SUMIF(R$9:R$40, A9, U$9:U$40))</f>
        <v/>
      </c>
      <c r="M9" s="9">
        <f>IF(F9="","",MAX(0,F9-L9))</f>
        <v/>
      </c>
      <c r="N9" s="11">
        <f>IF(F9="","",K9+M9)</f>
        <v/>
      </c>
      <c r="O9" s="12">
        <f>IF(F9="","",IF(N9&lt;=0,"PAGADO",IF(D9&lt;&gt;"","PAGADO",IF(E9&gt;30,"PENDIENTE","VIGENTE"))))</f>
        <v/>
      </c>
      <c r="P9" s="49" t="n"/>
      <c r="Q9" s="7" t="n">
        <v>46080</v>
      </c>
      <c r="R9" s="13" t="n">
        <v>1</v>
      </c>
      <c r="S9" s="6">
        <f>IF(R9="","",IFERROR(VLOOKUP(R9, A$9:B$28, 2, FALSE), "No existe"))</f>
        <v/>
      </c>
      <c r="T9" s="9" t="n">
        <v>0</v>
      </c>
      <c r="U9" s="9" t="n">
        <v>150000</v>
      </c>
      <c r="V9" s="14">
        <f>IF(R9="","",T9+U9)</f>
        <v/>
      </c>
      <c r="W9" s="6" t="inlineStr">
        <is>
          <t>WhatsApp</t>
        </is>
      </c>
    </row>
    <row r="10" ht="22.05" customHeight="1" s="32">
      <c r="A10" s="15" t="n">
        <v>2</v>
      </c>
      <c r="B10" s="16" t="inlineStr">
        <is>
          <t>Caro Rios</t>
        </is>
      </c>
      <c r="C10" s="17" t="n">
        <v>46098</v>
      </c>
      <c r="D10" s="17" t="n">
        <v>46185</v>
      </c>
      <c r="E10" s="18">
        <f>IF(C10="","",IF(D10&lt;&gt;"",D10-C10,TODAY()-C10))</f>
        <v/>
      </c>
      <c r="F10" s="19" t="n">
        <v>1000000</v>
      </c>
      <c r="G10" s="20" t="n">
        <v>0.005</v>
      </c>
      <c r="H10" s="19">
        <f>IF(F10="","",ROUND(F10*(G10/30)*(TODAY()-C10),0))</f>
        <v/>
      </c>
      <c r="I10" s="19">
        <f>IF(F10="","",IF(D10&lt;&gt;"",ROUND(F10*(G10/30)*(D10-C10),0),"-"))</f>
        <v/>
      </c>
      <c r="J10" s="19">
        <f>IF(F10="","",SUMIF(R$9:R$40, A10, T$9:T$40))</f>
        <v/>
      </c>
      <c r="K10" s="19">
        <f>IF(F10="","",MAX(0,IF(D10&lt;&gt;"",I10,H10)-J10))</f>
        <v/>
      </c>
      <c r="L10" s="19">
        <f>IF(F10="","",SUMIF(R$9:R$40, A10, U$9:U$40))</f>
        <v/>
      </c>
      <c r="M10" s="19">
        <f>IF(F10="","",MAX(0,F10-L10))</f>
        <v/>
      </c>
      <c r="N10" s="21">
        <f>IF(F10="","",K10+M10)</f>
        <v/>
      </c>
      <c r="O10" s="22">
        <f>IF(F10="","",IF(N10&lt;=0,"PAGADO",IF(D10&lt;&gt;"","PAGADO",IF(E10&gt;30,"PENDIENTE","VIGENTE"))))</f>
        <v/>
      </c>
      <c r="P10" s="49" t="n"/>
      <c r="Q10" s="17" t="n">
        <v>46094</v>
      </c>
      <c r="R10" s="23" t="n">
        <v>1</v>
      </c>
      <c r="S10" s="16">
        <f>IF(R10="","",IFERROR(VLOOKUP(R10, A$9:B$28, 2, FALSE), "No existe"))</f>
        <v/>
      </c>
      <c r="T10" s="19" t="n">
        <v>0</v>
      </c>
      <c r="U10" s="19" t="n">
        <v>100000</v>
      </c>
      <c r="V10" s="24">
        <f>IF(R10="","",T10+U10)</f>
        <v/>
      </c>
      <c r="W10" s="16" t="n"/>
    </row>
    <row r="11" ht="22.05" customHeight="1" s="32">
      <c r="A11" s="5" t="n">
        <v>3</v>
      </c>
      <c r="B11" s="6" t="inlineStr">
        <is>
          <t>Caro Rios</t>
        </is>
      </c>
      <c r="C11" s="7" t="n">
        <v>46230</v>
      </c>
      <c r="D11" s="7" t="n"/>
      <c r="E11" s="8">
        <f>IF(C11="","",IF(D11&lt;&gt;"",D11-C11,TODAY()-C11))</f>
        <v/>
      </c>
      <c r="F11" s="9" t="n">
        <v>700000</v>
      </c>
      <c r="G11" s="10" t="n">
        <v>0.005</v>
      </c>
      <c r="H11" s="9">
        <f>IF(F11="","",ROUND(F11*(G11/30)*(TODAY()-C11),0))</f>
        <v/>
      </c>
      <c r="I11" s="9">
        <f>IF(F11="","",IF(D11&lt;&gt;"",ROUND(F11*(G11/30)*(D11-C11),0),"-"))</f>
        <v/>
      </c>
      <c r="J11" s="9">
        <f>IF(F11="","",SUMIF(R$9:R$40, A11, T$9:T$40))</f>
        <v/>
      </c>
      <c r="K11" s="9">
        <f>IF(F11="","",MAX(0,IF(D11&lt;&gt;"",I11,H11)-J11))</f>
        <v/>
      </c>
      <c r="L11" s="9">
        <f>IF(F11="","",SUMIF(R$9:R$40, A11, U$9:U$40))</f>
        <v/>
      </c>
      <c r="M11" s="9">
        <f>IF(F11="","",MAX(0,F11-L11))</f>
        <v/>
      </c>
      <c r="N11" s="11">
        <f>IF(F11="","",K11+M11)</f>
        <v/>
      </c>
      <c r="O11" s="12">
        <f>IF(F11="","",IF(N11&lt;=0,"PAGADO",IF(D11&lt;&gt;"","PAGADO",IF(E11&gt;30,"PENDIENTE","VIGENTE"))))</f>
        <v/>
      </c>
      <c r="P11" s="49" t="n"/>
      <c r="Q11" s="7" t="n">
        <v>46098</v>
      </c>
      <c r="R11" s="13" t="n">
        <v>1</v>
      </c>
      <c r="S11" s="6">
        <f>IF(R11="","",IFERROR(VLOOKUP(R11, A$9:B$28, 2, FALSE), "No existe"))</f>
        <v/>
      </c>
      <c r="T11" s="9" t="n">
        <v>20000</v>
      </c>
      <c r="U11" s="9" t="n">
        <v>150000</v>
      </c>
      <c r="V11" s="14">
        <f>IF(R11="","",T11+U11)</f>
        <v/>
      </c>
      <c r="W11" s="6" t="n"/>
    </row>
    <row r="12" ht="22.05" customHeight="1" s="32">
      <c r="A12" s="15" t="n">
        <v>4</v>
      </c>
      <c r="B12" s="16" t="inlineStr">
        <is>
          <t>Caro Rios</t>
        </is>
      </c>
      <c r="C12" s="17" t="n">
        <v>46277</v>
      </c>
      <c r="D12" s="17" t="n"/>
      <c r="E12" s="18">
        <f>IF(C12="","",IF(D12&lt;&gt;"",D12-C12,TODAY()-C12))</f>
        <v/>
      </c>
      <c r="F12" s="19" t="n">
        <v>300000</v>
      </c>
      <c r="G12" s="20" t="n">
        <v>0.005</v>
      </c>
      <c r="H12" s="19">
        <f>IF(F12="","",ROUND(F12*(G12/30)*(TODAY()-C12),0))</f>
        <v/>
      </c>
      <c r="I12" s="19">
        <f>IF(F12="","",IF(D12&lt;&gt;"",ROUND(F12*(G12/30)*(D12-C12),0),"-"))</f>
        <v/>
      </c>
      <c r="J12" s="19">
        <f>IF(F12="","",SUMIF(R$9:R$40, A12, T$9:T$40))</f>
        <v/>
      </c>
      <c r="K12" s="19">
        <f>IF(F12="","",MAX(0,IF(D12&lt;&gt;"",I12,H12)-J12))</f>
        <v/>
      </c>
      <c r="L12" s="19">
        <f>IF(F12="","",SUMIF(R$9:R$40, A12, U$9:U$40))</f>
        <v/>
      </c>
      <c r="M12" s="19">
        <f>IF(F12="","",MAX(0,F12-L12))</f>
        <v/>
      </c>
      <c r="N12" s="21">
        <f>IF(F12="","",K12+M12)</f>
        <v/>
      </c>
      <c r="O12" s="22">
        <f>IF(F12="","",IF(N12&lt;=0,"PAGADO",IF(D12&lt;&gt;"","PAGADO",IF(E12&gt;30,"PENDIENTE","VIGENTE"))))</f>
        <v/>
      </c>
      <c r="P12" s="49" t="n"/>
      <c r="Q12" s="17" t="n">
        <v>46111</v>
      </c>
      <c r="R12" s="23" t="n">
        <v>2</v>
      </c>
      <c r="S12" s="16">
        <f>IF(R12="","",IFERROR(VLOOKUP(R12, A$9:B$28, 2, FALSE), "No existe"))</f>
        <v/>
      </c>
      <c r="T12" s="19" t="n">
        <v>10000</v>
      </c>
      <c r="U12" s="19" t="n">
        <v>200000</v>
      </c>
      <c r="V12" s="24">
        <f>IF(R12="","",T12+U12)</f>
        <v/>
      </c>
      <c r="W12" s="16" t="n"/>
    </row>
    <row r="13" ht="22.05" customHeight="1" s="32">
      <c r="A13" s="5" t="n">
        <v>5</v>
      </c>
      <c r="B13" s="6" t="inlineStr">
        <is>
          <t>Caro Rios</t>
        </is>
      </c>
      <c r="C13" s="7" t="n"/>
      <c r="D13" s="7" t="n"/>
      <c r="E13" s="8">
        <f>IF(C13="","",IF(D13&lt;&gt;"",D13-C13,TODAY()-C13))</f>
        <v/>
      </c>
      <c r="F13" s="9" t="n"/>
      <c r="G13" s="10" t="n">
        <v>0.005</v>
      </c>
      <c r="H13" s="9">
        <f>IF(F13="","",ROUND(F13*(G13/30)*(TODAY()-C13),0))</f>
        <v/>
      </c>
      <c r="I13" s="9">
        <f>IF(F13="","",IF(D13&lt;&gt;"",ROUND(F13*(G13/30)*(D13-C13),0),"-"))</f>
        <v/>
      </c>
      <c r="J13" s="9">
        <f>IF(F13="","",SUMIF(R$9:R$40, A13, T$9:T$40))</f>
        <v/>
      </c>
      <c r="K13" s="9">
        <f>IF(F13="","",MAX(0,IF(D13&lt;&gt;"",I13,H13)-J13))</f>
        <v/>
      </c>
      <c r="L13" s="9">
        <f>IF(F13="","",SUMIF(R$9:R$40, A13, U$9:U$40))</f>
        <v/>
      </c>
      <c r="M13" s="9">
        <f>IF(F13="","",MAX(0,F13-L13))</f>
        <v/>
      </c>
      <c r="N13" s="11">
        <f>IF(F13="","",K13+M13)</f>
        <v/>
      </c>
      <c r="O13" s="12">
        <f>IF(F13="","",IF(N13&lt;=0,"PAGADO",IF(D13&lt;&gt;"","PAGADO",IF(E13&gt;30,"PENDIENTE","VIGENTE"))))</f>
        <v/>
      </c>
      <c r="P13" s="49" t="n"/>
      <c r="Q13" s="7" t="n">
        <v>46127</v>
      </c>
      <c r="R13" s="13" t="n">
        <v>2</v>
      </c>
      <c r="S13" s="6">
        <f>IF(R13="","",IFERROR(VLOOKUP(R13, A$9:B$28, 2, FALSE), "No existe"))</f>
        <v/>
      </c>
      <c r="T13" s="9" t="n">
        <v>10000</v>
      </c>
      <c r="U13" s="9" t="n">
        <v>200000</v>
      </c>
      <c r="V13" s="14">
        <f>IF(R13="","",T13+U13)</f>
        <v/>
      </c>
      <c r="W13" s="6" t="n"/>
    </row>
    <row r="14" ht="22.05" customHeight="1" s="32">
      <c r="A14" s="15" t="n">
        <v>6</v>
      </c>
      <c r="B14" s="16" t="inlineStr">
        <is>
          <t>Caro Rios</t>
        </is>
      </c>
      <c r="C14" s="17" t="n"/>
      <c r="D14" s="17" t="n"/>
      <c r="E14" s="18">
        <f>IF(C14="","",IF(D14&lt;&gt;"",D14-C14,TODAY()-C14))</f>
        <v/>
      </c>
      <c r="F14" s="19" t="n"/>
      <c r="G14" s="20" t="n">
        <v>0.005</v>
      </c>
      <c r="H14" s="19">
        <f>IF(F14="","",ROUND(F14*(G14/30)*(TODAY()-C14),0))</f>
        <v/>
      </c>
      <c r="I14" s="19">
        <f>IF(F14="","",IF(D14&lt;&gt;"",ROUND(F14*(G14/30)*(D14-C14),0),"-"))</f>
        <v/>
      </c>
      <c r="J14" s="19">
        <f>IF(F14="","",SUMIF(R$9:R$40, A14, T$9:T$40))</f>
        <v/>
      </c>
      <c r="K14" s="19">
        <f>IF(F14="","",MAX(0,IF(D14&lt;&gt;"",I14,H14)-J14))</f>
        <v/>
      </c>
      <c r="L14" s="19">
        <f>IF(F14="","",SUMIF(R$9:R$40, A14, U$9:U$40))</f>
        <v/>
      </c>
      <c r="M14" s="19">
        <f>IF(F14="","",MAX(0,F14-L14))</f>
        <v/>
      </c>
      <c r="N14" s="21">
        <f>IF(F14="","",K14+M14)</f>
        <v/>
      </c>
      <c r="O14" s="22">
        <f>IF(F14="","",IF(N14&lt;=0,"PAGADO",IF(D14&lt;&gt;"","PAGADO",IF(E14&gt;30,"PENDIENTE","VIGENTE"))))</f>
        <v/>
      </c>
      <c r="P14" s="49" t="n"/>
      <c r="Q14" s="17" t="n">
        <v>46142</v>
      </c>
      <c r="R14" s="23" t="n">
        <v>2</v>
      </c>
      <c r="S14" s="16">
        <f>IF(R14="","",IFERROR(VLOOKUP(R14, A$9:B$28, 2, FALSE), "No existe"))</f>
        <v/>
      </c>
      <c r="T14" s="19" t="n">
        <v>10000</v>
      </c>
      <c r="U14" s="19" t="n">
        <v>200000</v>
      </c>
      <c r="V14" s="24">
        <f>IF(R14="","",T14+U14)</f>
        <v/>
      </c>
      <c r="W14" s="16" t="n"/>
    </row>
    <row r="15" ht="22.05" customHeight="1" s="32">
      <c r="A15" s="5" t="n">
        <v>7</v>
      </c>
      <c r="B15" s="6" t="inlineStr">
        <is>
          <t>Caro Rios</t>
        </is>
      </c>
      <c r="C15" s="7" t="n"/>
      <c r="D15" s="7" t="n"/>
      <c r="E15" s="8">
        <f>IF(C15="","",IF(D15&lt;&gt;"",D15-C15,TODAY()-C15))</f>
        <v/>
      </c>
      <c r="F15" s="9" t="n"/>
      <c r="G15" s="10" t="n">
        <v>0.005</v>
      </c>
      <c r="H15" s="9">
        <f>IF(F15="","",ROUND(F15*(G15/30)*(TODAY()-C15),0))</f>
        <v/>
      </c>
      <c r="I15" s="9">
        <f>IF(F15="","",IF(D15&lt;&gt;"",ROUND(F15*(G15/30)*(D15-C15),0),"-"))</f>
        <v/>
      </c>
      <c r="J15" s="9">
        <f>IF(F15="","",SUMIF(R$9:R$40, A15, T$9:T$40))</f>
        <v/>
      </c>
      <c r="K15" s="9">
        <f>IF(F15="","",MAX(0,IF(D15&lt;&gt;"",I15,H15)-J15))</f>
        <v/>
      </c>
      <c r="L15" s="9">
        <f>IF(F15="","",SUMIF(R$9:R$40, A15, U$9:U$40))</f>
        <v/>
      </c>
      <c r="M15" s="9">
        <f>IF(F15="","",MAX(0,F15-L15))</f>
        <v/>
      </c>
      <c r="N15" s="11">
        <f>IF(F15="","",K15+M15)</f>
        <v/>
      </c>
      <c r="O15" s="12">
        <f>IF(F15="","",IF(N15&lt;=0,"PAGADO",IF(D15&lt;&gt;"","PAGADO",IF(E15&gt;30,"PENDIENTE","VIGENTE"))))</f>
        <v/>
      </c>
      <c r="P15" s="49" t="n"/>
      <c r="Q15" s="7" t="n">
        <v>46157</v>
      </c>
      <c r="R15" s="13" t="n">
        <v>2</v>
      </c>
      <c r="S15" s="6">
        <f>IF(R15="","",IFERROR(VLOOKUP(R15, A$9:B$28, 2, FALSE), "No existe"))</f>
        <v/>
      </c>
      <c r="T15" s="9" t="n">
        <v>10000</v>
      </c>
      <c r="U15" s="9" t="n">
        <v>100000</v>
      </c>
      <c r="V15" s="14">
        <f>IF(R15="","",T15+U15)</f>
        <v/>
      </c>
      <c r="W15" s="6" t="n"/>
    </row>
    <row r="16" ht="22.05" customHeight="1" s="32">
      <c r="A16" s="15" t="n">
        <v>8</v>
      </c>
      <c r="B16" s="16" t="inlineStr">
        <is>
          <t>Caro Rios</t>
        </is>
      </c>
      <c r="C16" s="17" t="n"/>
      <c r="D16" s="17" t="n"/>
      <c r="E16" s="18">
        <f>IF(C16="","",IF(D16&lt;&gt;"",D16-C16,TODAY()-C16))</f>
        <v/>
      </c>
      <c r="F16" s="19" t="n"/>
      <c r="G16" s="20" t="n">
        <v>0.005</v>
      </c>
      <c r="H16" s="19">
        <f>IF(F16="","",ROUND(F16*(G16/30)*(TODAY()-C16),0))</f>
        <v/>
      </c>
      <c r="I16" s="19">
        <f>IF(F16="","",IF(D16&lt;&gt;"",ROUND(F16*(G16/30)*(D16-C16),0),"-"))</f>
        <v/>
      </c>
      <c r="J16" s="19">
        <f>IF(F16="","",SUMIF(R$9:R$40, A16, T$9:T$40))</f>
        <v/>
      </c>
      <c r="K16" s="19">
        <f>IF(F16="","",MAX(0,IF(D16&lt;&gt;"",I16,H16)-J16))</f>
        <v/>
      </c>
      <c r="L16" s="19">
        <f>IF(F16="","",SUMIF(R$9:R$40, A16, U$9:U$40))</f>
        <v/>
      </c>
      <c r="M16" s="19">
        <f>IF(F16="","",MAX(0,F16-L16))</f>
        <v/>
      </c>
      <c r="N16" s="21">
        <f>IF(F16="","",K16+M16)</f>
        <v/>
      </c>
      <c r="O16" s="22">
        <f>IF(F16="","",IF(N16&lt;=0,"PAGADO",IF(D16&lt;&gt;"","PAGADO",IF(E16&gt;30,"PENDIENTE","VIGENTE"))))</f>
        <v/>
      </c>
      <c r="P16" s="49" t="n"/>
      <c r="Q16" s="17" t="n">
        <v>46171</v>
      </c>
      <c r="R16" s="23" t="n">
        <v>2</v>
      </c>
      <c r="S16" s="16">
        <f>IF(R16="","",IFERROR(VLOOKUP(R16, A$9:B$28, 2, FALSE), "No existe"))</f>
        <v/>
      </c>
      <c r="T16" s="19" t="n">
        <v>10000</v>
      </c>
      <c r="U16" s="19" t="n">
        <v>100000</v>
      </c>
      <c r="V16" s="24">
        <f>IF(R16="","",T16+U16)</f>
        <v/>
      </c>
      <c r="W16" s="16" t="n"/>
    </row>
    <row r="17" ht="22.05" customHeight="1" s="32">
      <c r="A17" s="5" t="n">
        <v>9</v>
      </c>
      <c r="B17" s="6" t="inlineStr">
        <is>
          <t>Caro Rios</t>
        </is>
      </c>
      <c r="C17" s="7" t="n"/>
      <c r="D17" s="7" t="n"/>
      <c r="E17" s="8">
        <f>IF(C17="","",IF(D17&lt;&gt;"",D17-C17,TODAY()-C17))</f>
        <v/>
      </c>
      <c r="F17" s="9" t="n"/>
      <c r="G17" s="10" t="n">
        <v>0.005</v>
      </c>
      <c r="H17" s="9">
        <f>IF(F17="","",ROUND(F17*(G17/30)*(TODAY()-C17),0))</f>
        <v/>
      </c>
      <c r="I17" s="9">
        <f>IF(F17="","",IF(D17&lt;&gt;"",ROUND(F17*(G17/30)*(D17-C17),0),"-"))</f>
        <v/>
      </c>
      <c r="J17" s="9">
        <f>IF(F17="","",SUMIF(R$9:R$40, A17, T$9:T$40))</f>
        <v/>
      </c>
      <c r="K17" s="9">
        <f>IF(F17="","",MAX(0,IF(D17&lt;&gt;"",I17,H17)-J17))</f>
        <v/>
      </c>
      <c r="L17" s="9">
        <f>IF(F17="","",SUMIF(R$9:R$40, A17, U$9:U$40))</f>
        <v/>
      </c>
      <c r="M17" s="9">
        <f>IF(F17="","",MAX(0,F17-L17))</f>
        <v/>
      </c>
      <c r="N17" s="11">
        <f>IF(F17="","",K17+M17)</f>
        <v/>
      </c>
      <c r="O17" s="12">
        <f>IF(F17="","",IF(N17&lt;=0,"PAGADO",IF(D17&lt;&gt;"","PAGADO",IF(E17&gt;30,"PENDIENTE","VIGENTE"))))</f>
        <v/>
      </c>
      <c r="P17" s="49" t="n"/>
      <c r="Q17" s="7" t="n">
        <v>46185</v>
      </c>
      <c r="R17" s="13" t="n">
        <v>2</v>
      </c>
      <c r="S17" s="6">
        <f>IF(R17="","",IFERROR(VLOOKUP(R17, A$9:B$28, 2, FALSE), "No existe"))</f>
        <v/>
      </c>
      <c r="T17" s="9" t="n">
        <v>20000</v>
      </c>
      <c r="U17" s="9" t="n">
        <v>200000</v>
      </c>
      <c r="V17" s="14">
        <f>IF(R17="","",T17+U17)</f>
        <v/>
      </c>
      <c r="W17" s="6" t="n"/>
    </row>
    <row r="18" ht="22.05" customHeight="1" s="32">
      <c r="A18" s="15" t="n">
        <v>10</v>
      </c>
      <c r="B18" s="16" t="inlineStr">
        <is>
          <t>Caro Rios</t>
        </is>
      </c>
      <c r="C18" s="17" t="n"/>
      <c r="D18" s="17" t="n"/>
      <c r="E18" s="18">
        <f>IF(C18="","",IF(D18&lt;&gt;"",D18-C18,TODAY()-C18))</f>
        <v/>
      </c>
      <c r="F18" s="19" t="n"/>
      <c r="G18" s="20" t="n">
        <v>0.005</v>
      </c>
      <c r="H18" s="19">
        <f>IF(F18="","",ROUND(F18*(G18/30)*(TODAY()-C18),0))</f>
        <v/>
      </c>
      <c r="I18" s="19">
        <f>IF(F18="","",IF(D18&lt;&gt;"",ROUND(F18*(G18/30)*(D18-C18),0),"-"))</f>
        <v/>
      </c>
      <c r="J18" s="19">
        <f>IF(F18="","",SUMIF(R$9:R$40, A18, T$9:T$40))</f>
        <v/>
      </c>
      <c r="K18" s="19">
        <f>IF(F18="","",MAX(0,IF(D18&lt;&gt;"",I18,H18)-J18))</f>
        <v/>
      </c>
      <c r="L18" s="19">
        <f>IF(F18="","",SUMIF(R$9:R$40, A18, U$9:U$40))</f>
        <v/>
      </c>
      <c r="M18" s="19">
        <f>IF(F18="","",MAX(0,F18-L18))</f>
        <v/>
      </c>
      <c r="N18" s="21">
        <f>IF(F18="","",K18+M18)</f>
        <v/>
      </c>
      <c r="O18" s="22">
        <f>IF(F18="","",IF(N18&lt;=0,"PAGADO",IF(D18&lt;&gt;"","PAGADO",IF(E18&gt;30,"PENDIENTE","VIGENTE"))))</f>
        <v/>
      </c>
      <c r="P18" s="49" t="n"/>
      <c r="Q18" s="17" t="n">
        <v>46236</v>
      </c>
      <c r="R18" s="23" t="n">
        <v>3</v>
      </c>
      <c r="S18" s="16">
        <f>IF(R18="","",IFERROR(VLOOKUP(R18, A$9:B$28, 2, FALSE), "No existe"))</f>
        <v/>
      </c>
      <c r="T18" s="19" t="n">
        <v>0</v>
      </c>
      <c r="U18" s="19" t="n">
        <v>100000</v>
      </c>
      <c r="V18" s="24">
        <f>IF(R18="","",T18+U18)</f>
        <v/>
      </c>
      <c r="W18" s="16" t="n"/>
    </row>
    <row r="19" ht="22.05" customHeight="1" s="32">
      <c r="A19" s="5" t="n">
        <v>11</v>
      </c>
      <c r="B19" s="6" t="n"/>
      <c r="C19" s="7" t="n"/>
      <c r="D19" s="7" t="n"/>
      <c r="E19" s="8">
        <f>IF(C19="","",IF(D19&lt;&gt;"",D19-C19,TODAY()-C19))</f>
        <v/>
      </c>
      <c r="F19" s="9" t="n"/>
      <c r="G19" s="10" t="n">
        <v>0.005</v>
      </c>
      <c r="H19" s="9">
        <f>IF(F19="","",ROUND(F19*(G19/30)*(TODAY()-C19),0))</f>
        <v/>
      </c>
      <c r="I19" s="9">
        <f>IF(F19="","",IF(D19&lt;&gt;"",ROUND(F19*(G19/30)*(D19-C19),0),"-"))</f>
        <v/>
      </c>
      <c r="J19" s="9">
        <f>IF(F19="","",SUMIF(R$9:R$40, A19, T$9:T$40))</f>
        <v/>
      </c>
      <c r="K19" s="9">
        <f>IF(F19="","",MAX(0,IF(D19&lt;&gt;"",I19,H19)-J19))</f>
        <v/>
      </c>
      <c r="L19" s="9">
        <f>IF(F19="","",SUMIF(R$9:R$40, A19, U$9:U$40))</f>
        <v/>
      </c>
      <c r="M19" s="9">
        <f>IF(F19="","",MAX(0,F19-L19))</f>
        <v/>
      </c>
      <c r="N19" s="11">
        <f>IF(F19="","",K19+M19)</f>
        <v/>
      </c>
      <c r="O19" s="12">
        <f>IF(F19="","",IF(N19&lt;=0,"PAGADO",IF(D19&lt;&gt;"","PAGADO",IF(E19&gt;30,"PENDIENTE","VIGENTE"))))</f>
        <v/>
      </c>
      <c r="P19" s="49" t="n"/>
      <c r="Q19" s="7" t="n">
        <v>46252</v>
      </c>
      <c r="R19" s="13" t="n">
        <v>3</v>
      </c>
      <c r="S19" s="6">
        <f>IF(R19="","",IFERROR(VLOOKUP(R19, A$9:B$28, 2, FALSE), "No existe"))</f>
        <v/>
      </c>
      <c r="T19" s="9" t="n">
        <v>0</v>
      </c>
      <c r="U19" s="9" t="n">
        <v>100000</v>
      </c>
      <c r="V19" s="14">
        <f>IF(R19="","",T19+U19)</f>
        <v/>
      </c>
      <c r="W19" s="6" t="n"/>
    </row>
    <row r="20" ht="22.05" customHeight="1" s="32">
      <c r="A20" s="15" t="n">
        <v>12</v>
      </c>
      <c r="B20" s="16" t="n"/>
      <c r="C20" s="17" t="n"/>
      <c r="D20" s="17" t="n"/>
      <c r="E20" s="18">
        <f>IF(C20="","",IF(D20&lt;&gt;"",D20-C20,TODAY()-C20))</f>
        <v/>
      </c>
      <c r="F20" s="19" t="n"/>
      <c r="G20" s="20" t="n">
        <v>0.005</v>
      </c>
      <c r="H20" s="19">
        <f>IF(F20="","",ROUND(F20*(G20/30)*(TODAY()-C20),0))</f>
        <v/>
      </c>
      <c r="I20" s="19">
        <f>IF(F20="","",IF(D20&lt;&gt;"",ROUND(F20*(G20/30)*(D20-C20),0),"-"))</f>
        <v/>
      </c>
      <c r="J20" s="19">
        <f>IF(F20="","",SUMIF(R$9:R$40, A20, T$9:T$40))</f>
        <v/>
      </c>
      <c r="K20" s="19">
        <f>IF(F20="","",MAX(0,IF(D20&lt;&gt;"",I20,H20)-J20))</f>
        <v/>
      </c>
      <c r="L20" s="19">
        <f>IF(F20="","",SUMIF(R$9:R$40, A20, U$9:U$40))</f>
        <v/>
      </c>
      <c r="M20" s="19">
        <f>IF(F20="","",MAX(0,F20-L20))</f>
        <v/>
      </c>
      <c r="N20" s="21">
        <f>IF(F20="","",K20+M20)</f>
        <v/>
      </c>
      <c r="O20" s="22">
        <f>IF(F20="","",IF(N20&lt;=0,"PAGADO",IF(D20&lt;&gt;"","PAGADO",IF(E20&gt;30,"PENDIENTE","VIGENTE"))))</f>
        <v/>
      </c>
      <c r="P20" s="49" t="n"/>
      <c r="Q20" s="17" t="n">
        <v>46268</v>
      </c>
      <c r="R20" s="23" t="n">
        <v>3</v>
      </c>
      <c r="S20" s="16">
        <f>IF(R20="","",IFERROR(VLOOKUP(R20, A$9:B$28, 2, FALSE), "No existe"))</f>
        <v/>
      </c>
      <c r="T20" s="19" t="n">
        <v>0</v>
      </c>
      <c r="U20" s="19" t="n">
        <v>100000</v>
      </c>
      <c r="V20" s="24">
        <f>IF(R20="","",T20+U20)</f>
        <v/>
      </c>
      <c r="W20" s="16" t="n"/>
    </row>
    <row r="21" ht="22.05" customHeight="1" s="32">
      <c r="A21" s="5" t="n">
        <v>13</v>
      </c>
      <c r="B21" s="6" t="n"/>
      <c r="C21" s="7" t="n"/>
      <c r="D21" s="7" t="n"/>
      <c r="E21" s="8">
        <f>IF(C21="","",IF(D21&lt;&gt;"",D21-C21,TODAY()-C21))</f>
        <v/>
      </c>
      <c r="F21" s="9" t="n"/>
      <c r="G21" s="10" t="n">
        <v>0.005</v>
      </c>
      <c r="H21" s="9">
        <f>IF(F21="","",ROUND(F21*(G21/30)*(TODAY()-C21),0))</f>
        <v/>
      </c>
      <c r="I21" s="9">
        <f>IF(F21="","",IF(D21&lt;&gt;"",ROUND(F21*(G21/30)*(D21-C21),0),"-"))</f>
        <v/>
      </c>
      <c r="J21" s="9">
        <f>IF(F21="","",SUMIF(R$9:R$40, A21, T$9:T$40))</f>
        <v/>
      </c>
      <c r="K21" s="9">
        <f>IF(F21="","",MAX(0,IF(D21&lt;&gt;"",I21,H21)-J21))</f>
        <v/>
      </c>
      <c r="L21" s="9">
        <f>IF(F21="","",SUMIF(R$9:R$40, A21, U$9:U$40))</f>
        <v/>
      </c>
      <c r="M21" s="9">
        <f>IF(F21="","",MAX(0,F21-L21))</f>
        <v/>
      </c>
      <c r="N21" s="11">
        <f>IF(F21="","",K21+M21)</f>
        <v/>
      </c>
      <c r="O21" s="12">
        <f>IF(F21="","",IF(N21&lt;=0,"PAGADO",IF(D21&lt;&gt;"","PAGADO",IF(E21&gt;30,"PENDIENTE","VIGENTE"))))</f>
        <v/>
      </c>
      <c r="P21" s="49" t="n"/>
      <c r="Q21" s="7" t="n">
        <v>46280</v>
      </c>
      <c r="R21" s="13" t="n">
        <v>4</v>
      </c>
      <c r="S21" s="6">
        <f>IF(R21="","",IFERROR(VLOOKUP(R21, A$9:B$28, 2, FALSE), "No existe"))</f>
        <v/>
      </c>
      <c r="T21" s="9" t="n">
        <v>0</v>
      </c>
      <c r="U21" s="9" t="n">
        <v>100000</v>
      </c>
      <c r="V21" s="14">
        <f>IF(R21="","",T21+U21)</f>
        <v/>
      </c>
      <c r="W21" s="6" t="n"/>
    </row>
    <row r="22" ht="22.05" customHeight="1" s="32">
      <c r="A22" s="15" t="n">
        <v>14</v>
      </c>
      <c r="B22" s="16" t="n"/>
      <c r="C22" s="17" t="n"/>
      <c r="D22" s="17" t="n"/>
      <c r="E22" s="18">
        <f>IF(C22="","",IF(D22&lt;&gt;"",D22-C22,TODAY()-C22))</f>
        <v/>
      </c>
      <c r="F22" s="19" t="n"/>
      <c r="G22" s="20" t="n">
        <v>0.005</v>
      </c>
      <c r="H22" s="19">
        <f>IF(F22="","",ROUND(F22*(G22/30)*(TODAY()-C22),0))</f>
        <v/>
      </c>
      <c r="I22" s="19">
        <f>IF(F22="","",IF(D22&lt;&gt;"",ROUND(F22*(G22/30)*(D22-C22),0),"-"))</f>
        <v/>
      </c>
      <c r="J22" s="19">
        <f>IF(F22="","",SUMIF(R$9:R$40, A22, T$9:T$40))</f>
        <v/>
      </c>
      <c r="K22" s="19">
        <f>IF(F22="","",MAX(0,IF(D22&lt;&gt;"",I22,H22)-J22))</f>
        <v/>
      </c>
      <c r="L22" s="19">
        <f>IF(F22="","",SUMIF(R$9:R$40, A22, U$9:U$40))</f>
        <v/>
      </c>
      <c r="M22" s="19">
        <f>IF(F22="","",MAX(0,F22-L22))</f>
        <v/>
      </c>
      <c r="N22" s="21">
        <f>IF(F22="","",K22+M22)</f>
        <v/>
      </c>
      <c r="O22" s="22">
        <f>IF(F22="","",IF(N22&lt;=0,"PAGADO",IF(D22&lt;&gt;"","PAGADO",IF(E22&gt;30,"PENDIENTE","VIGENTE"))))</f>
        <v/>
      </c>
      <c r="P22" s="49" t="n"/>
      <c r="Q22" s="17" t="n">
        <v>46296</v>
      </c>
      <c r="R22" s="23" t="n">
        <v>4</v>
      </c>
      <c r="S22" s="16">
        <f>IF(R22="","",IFERROR(VLOOKUP(R22, A$9:B$28, 2, FALSE), "No existe"))</f>
        <v/>
      </c>
      <c r="T22" s="19" t="n">
        <v>0</v>
      </c>
      <c r="U22" s="19" t="n">
        <v>100000</v>
      </c>
      <c r="V22" s="24">
        <f>IF(R22="","",T22+U22)</f>
        <v/>
      </c>
      <c r="W22" s="16" t="n"/>
    </row>
    <row r="23" ht="22.05" customHeight="1" s="32">
      <c r="A23" s="5" t="n">
        <v>15</v>
      </c>
      <c r="B23" s="6" t="n"/>
      <c r="C23" s="7" t="n"/>
      <c r="D23" s="7" t="n"/>
      <c r="E23" s="8">
        <f>IF(C23="","",IF(D23&lt;&gt;"",D23-C23,TODAY()-C23))</f>
        <v/>
      </c>
      <c r="F23" s="9" t="n"/>
      <c r="G23" s="10" t="n">
        <v>0.005</v>
      </c>
      <c r="H23" s="9">
        <f>IF(F23="","",ROUND(F23*(G23/30)*(TODAY()-C23),0))</f>
        <v/>
      </c>
      <c r="I23" s="9">
        <f>IF(F23="","",IF(D23&lt;&gt;"",ROUND(F23*(G23/30)*(D23-C23),0),"-"))</f>
        <v/>
      </c>
      <c r="J23" s="9">
        <f>IF(F23="","",SUMIF(R$9:R$40, A23, T$9:T$40))</f>
        <v/>
      </c>
      <c r="K23" s="9">
        <f>IF(F23="","",MAX(0,IF(D23&lt;&gt;"",I23,H23)-J23))</f>
        <v/>
      </c>
      <c r="L23" s="9">
        <f>IF(F23="","",SUMIF(R$9:R$40, A23, U$9:U$40))</f>
        <v/>
      </c>
      <c r="M23" s="9">
        <f>IF(F23="","",MAX(0,F23-L23))</f>
        <v/>
      </c>
      <c r="N23" s="11">
        <f>IF(F23="","",K23+M23)</f>
        <v/>
      </c>
      <c r="O23" s="12">
        <f>IF(F23="","",IF(N23&lt;=0,"PAGADO",IF(D23&lt;&gt;"","PAGADO",IF(E23&gt;30,"PENDIENTE","VIGENTE"))))</f>
        <v/>
      </c>
      <c r="P23" s="49" t="n"/>
      <c r="Q23" s="7" t="n">
        <v>46296</v>
      </c>
      <c r="R23" s="13" t="n">
        <v>3</v>
      </c>
      <c r="S23" s="6">
        <f>IF(R23="","",IFERROR(VLOOKUP(R23, A$9:B$28, 2, FALSE), "No existe"))</f>
        <v/>
      </c>
      <c r="T23" s="9" t="n">
        <v>0</v>
      </c>
      <c r="U23" s="9" t="n">
        <v>73767</v>
      </c>
      <c r="V23" s="14">
        <f>IF(R23="","",T23+U23)</f>
        <v/>
      </c>
      <c r="W23" s="30" t="inlineStr">
        <is>
          <t>Reclasificacion intereses, se abona a credito 3</t>
        </is>
      </c>
    </row>
    <row r="24" ht="22.05" customHeight="1" s="32">
      <c r="A24" s="15" t="n">
        <v>16</v>
      </c>
      <c r="B24" s="16" t="n"/>
      <c r="C24" s="17" t="n"/>
      <c r="D24" s="17" t="n"/>
      <c r="E24" s="18">
        <f>IF(C24="","",IF(D24&lt;&gt;"",D24-C24,TODAY()-C24))</f>
        <v/>
      </c>
      <c r="F24" s="19" t="n"/>
      <c r="G24" s="20" t="n">
        <v>0.005</v>
      </c>
      <c r="H24" s="19">
        <f>IF(F24="","",ROUND(F24*(G24/30)*(TODAY()-C24),0))</f>
        <v/>
      </c>
      <c r="I24" s="19">
        <f>IF(F24="","",IF(D24&lt;&gt;"",ROUND(F24*(G24/30)*(D24-C24),0),"-"))</f>
        <v/>
      </c>
      <c r="J24" s="19">
        <f>IF(F24="","",SUMIF(R$9:R$40, A24, T$9:T$40))</f>
        <v/>
      </c>
      <c r="K24" s="19">
        <f>IF(F24="","",MAX(0,IF(D24&lt;&gt;"",I24,H24)-J24))</f>
        <v/>
      </c>
      <c r="L24" s="19">
        <f>IF(F24="","",SUMIF(R$9:R$40, A24, U$9:U$40))</f>
        <v/>
      </c>
      <c r="M24" s="19">
        <f>IF(F24="","",MAX(0,F24-L24))</f>
        <v/>
      </c>
      <c r="N24" s="21">
        <f>IF(F24="","",K24+M24)</f>
        <v/>
      </c>
      <c r="O24" s="22">
        <f>IF(F24="","",IF(N24&lt;=0,"PAGADO",IF(D24&lt;&gt;"","PAGADO",IF(E24&gt;30,"PENDIENTE","VIGENTE"))))</f>
        <v/>
      </c>
      <c r="P24" s="49" t="n"/>
      <c r="Q24" s="17" t="n"/>
      <c r="R24" s="23" t="n"/>
      <c r="S24" s="16">
        <f>IF(R24="","",IFERROR(VLOOKUP(R24, A$9:B$28, 2, FALSE), "No existe"))</f>
        <v/>
      </c>
      <c r="T24" s="19" t="n"/>
      <c r="U24" s="19" t="n"/>
      <c r="V24" s="24">
        <f>IF(R24="","",T24+U24)</f>
        <v/>
      </c>
      <c r="W24" s="16" t="n"/>
    </row>
    <row r="25" ht="22.05" customHeight="1" s="32">
      <c r="A25" s="5" t="n">
        <v>17</v>
      </c>
      <c r="B25" s="6" t="n"/>
      <c r="C25" s="7" t="n"/>
      <c r="D25" s="7" t="n"/>
      <c r="E25" s="8">
        <f>IF(C25="","",IF(D25&lt;&gt;"",D25-C25,TODAY()-C25))</f>
        <v/>
      </c>
      <c r="F25" s="9" t="n"/>
      <c r="G25" s="10" t="n">
        <v>0.005</v>
      </c>
      <c r="H25" s="9">
        <f>IF(F25="","",ROUND(F25*(G25/30)*(TODAY()-C25),0))</f>
        <v/>
      </c>
      <c r="I25" s="9">
        <f>IF(F25="","",IF(D25&lt;&gt;"",ROUND(F25*(G25/30)*(D25-C25),0),"-"))</f>
        <v/>
      </c>
      <c r="J25" s="9">
        <f>IF(F25="","",SUMIF(R$9:R$40, A25, T$9:T$40))</f>
        <v/>
      </c>
      <c r="K25" s="9">
        <f>IF(F25="","",MAX(0,IF(D25&lt;&gt;"",I25,H25)-J25))</f>
        <v/>
      </c>
      <c r="L25" s="9">
        <f>IF(F25="","",SUMIF(R$9:R$40, A25, U$9:U$40))</f>
        <v/>
      </c>
      <c r="M25" s="9">
        <f>IF(F25="","",MAX(0,F25-L25))</f>
        <v/>
      </c>
      <c r="N25" s="11">
        <f>IF(F25="","",K25+M25)</f>
        <v/>
      </c>
      <c r="O25" s="12">
        <f>IF(F25="","",IF(N25&lt;=0,"PAGADO",IF(D25&lt;&gt;"","PAGADO",IF(E25&gt;30,"PENDIENTE","VIGENTE"))))</f>
        <v/>
      </c>
      <c r="P25" s="49" t="n"/>
      <c r="Q25" s="7" t="n"/>
      <c r="R25" s="13" t="n"/>
      <c r="S25" s="6">
        <f>IF(R25="","",IFERROR(VLOOKUP(R25, A$9:B$28, 2, FALSE), "No existe"))</f>
        <v/>
      </c>
      <c r="T25" s="9" t="n"/>
      <c r="U25" s="9" t="n"/>
      <c r="V25" s="14">
        <f>IF(R25="","",T25+U25)</f>
        <v/>
      </c>
      <c r="W25" s="6" t="n"/>
    </row>
    <row r="26" ht="22.05" customHeight="1" s="32">
      <c r="A26" s="15" t="n">
        <v>18</v>
      </c>
      <c r="B26" s="16" t="n"/>
      <c r="C26" s="17" t="n"/>
      <c r="D26" s="17" t="n"/>
      <c r="E26" s="18">
        <f>IF(C26="","",IF(D26&lt;&gt;"",D26-C26,TODAY()-C26))</f>
        <v/>
      </c>
      <c r="F26" s="19" t="n"/>
      <c r="G26" s="20" t="n">
        <v>0.005</v>
      </c>
      <c r="H26" s="19">
        <f>IF(F26="","",ROUND(F26*(G26/30)*(TODAY()-C26),0))</f>
        <v/>
      </c>
      <c r="I26" s="19">
        <f>IF(F26="","",IF(D26&lt;&gt;"",ROUND(F26*(G26/30)*(D26-C26),0),"-"))</f>
        <v/>
      </c>
      <c r="J26" s="19">
        <f>IF(F26="","",SUMIF(R$9:R$40, A26, T$9:T$40))</f>
        <v/>
      </c>
      <c r="K26" s="19">
        <f>IF(F26="","",MAX(0,IF(D26&lt;&gt;"",I26,H26)-J26))</f>
        <v/>
      </c>
      <c r="L26" s="19">
        <f>IF(F26="","",SUMIF(R$9:R$40, A26, U$9:U$40))</f>
        <v/>
      </c>
      <c r="M26" s="19">
        <f>IF(F26="","",MAX(0,F26-L26))</f>
        <v/>
      </c>
      <c r="N26" s="21">
        <f>IF(F26="","",K26+M26)</f>
        <v/>
      </c>
      <c r="O26" s="22">
        <f>IF(F26="","",IF(N26&lt;=0,"PAGADO",IF(D26&lt;&gt;"","PAGADO",IF(E26&gt;30,"PENDIENTE","VIGENTE"))))</f>
        <v/>
      </c>
      <c r="P26" s="49" t="n"/>
      <c r="Q26" s="17" t="n"/>
      <c r="R26" s="23" t="n"/>
      <c r="S26" s="16">
        <f>IF(R26="","",IFERROR(VLOOKUP(R26, A$9:B$28, 2, FALSE), "No existe"))</f>
        <v/>
      </c>
      <c r="T26" s="19" t="n"/>
      <c r="U26" s="19" t="n"/>
      <c r="V26" s="24">
        <f>IF(R26="","",T26+U26)</f>
        <v/>
      </c>
      <c r="W26" s="16" t="n"/>
    </row>
    <row r="27" ht="22.05" customHeight="1" s="32">
      <c r="A27" s="5" t="n">
        <v>19</v>
      </c>
      <c r="B27" s="6" t="n"/>
      <c r="C27" s="7" t="n"/>
      <c r="D27" s="7" t="n"/>
      <c r="E27" s="8">
        <f>IF(C27="","",IF(D27&lt;&gt;"",D27-C27,TODAY()-C27))</f>
        <v/>
      </c>
      <c r="F27" s="9" t="n"/>
      <c r="G27" s="10" t="n">
        <v>0.005</v>
      </c>
      <c r="H27" s="9">
        <f>IF(F27="","",ROUND(F27*(G27/30)*(TODAY()-C27),0))</f>
        <v/>
      </c>
      <c r="I27" s="9">
        <f>IF(F27="","",IF(D27&lt;&gt;"",ROUND(F27*(G27/30)*(D27-C27),0),"-"))</f>
        <v/>
      </c>
      <c r="J27" s="9">
        <f>IF(F27="","",SUMIF(R$9:R$40, A27, T$9:T$40))</f>
        <v/>
      </c>
      <c r="K27" s="9">
        <f>IF(F27="","",MAX(0,IF(D27&lt;&gt;"",I27,H27)-J27))</f>
        <v/>
      </c>
      <c r="L27" s="9">
        <f>IF(F27="","",SUMIF(R$9:R$40, A27, U$9:U$40))</f>
        <v/>
      </c>
      <c r="M27" s="9">
        <f>IF(F27="","",MAX(0,F27-L27))</f>
        <v/>
      </c>
      <c r="N27" s="11">
        <f>IF(F27="","",K27+M27)</f>
        <v/>
      </c>
      <c r="O27" s="12">
        <f>IF(F27="","",IF(N27&lt;=0,"PAGADO",IF(D27&lt;&gt;"","PAGADO",IF(E27&gt;30,"PENDIENTE","VIGENTE"))))</f>
        <v/>
      </c>
      <c r="P27" s="49" t="n"/>
      <c r="Q27" s="7" t="n"/>
      <c r="R27" s="13" t="n"/>
      <c r="S27" s="6">
        <f>IF(R27="","",IFERROR(VLOOKUP(R27, A$9:B$28, 2, FALSE), "No existe"))</f>
        <v/>
      </c>
      <c r="T27" s="9" t="n"/>
      <c r="U27" s="9" t="n"/>
      <c r="V27" s="14">
        <f>IF(R27="","",T27+U27)</f>
        <v/>
      </c>
      <c r="W27" s="6" t="n"/>
    </row>
    <row r="28" ht="22.05" customHeight="1" s="32">
      <c r="A28" s="15" t="n">
        <v>20</v>
      </c>
      <c r="B28" s="16" t="n"/>
      <c r="C28" s="17" t="n"/>
      <c r="D28" s="17" t="n"/>
      <c r="E28" s="18">
        <f>IF(C28="","",IF(D28&lt;&gt;"",D28-C28,TODAY()-C28))</f>
        <v/>
      </c>
      <c r="F28" s="19" t="n"/>
      <c r="G28" s="20" t="n">
        <v>0.005</v>
      </c>
      <c r="H28" s="19">
        <f>IF(F28="","",ROUND(F28*(G28/30)*(TODAY()-C28),0))</f>
        <v/>
      </c>
      <c r="I28" s="19">
        <f>IF(F28="","",IF(D28&lt;&gt;"",ROUND(F28*(G28/30)*(D28-C28),0),"-"))</f>
        <v/>
      </c>
      <c r="J28" s="19">
        <f>IF(F28="","",SUMIF(R$9:R$40, A28, T$9:T$40))</f>
        <v/>
      </c>
      <c r="K28" s="19">
        <f>IF(F28="","",MAX(0,IF(D28&lt;&gt;"",I28,H28)-J28))</f>
        <v/>
      </c>
      <c r="L28" s="19">
        <f>IF(F28="","",SUMIF(R$9:R$40, A28, U$9:U$40))</f>
        <v/>
      </c>
      <c r="M28" s="19">
        <f>IF(F28="","",MAX(0,F28-L28))</f>
        <v/>
      </c>
      <c r="N28" s="21">
        <f>IF(F28="","",K28+M28)</f>
        <v/>
      </c>
      <c r="O28" s="22">
        <f>IF(F28="","",IF(N28&lt;=0,"PAGADO",IF(D28&lt;&gt;"","PAGADO",IF(E28&gt;30,"PENDIENTE","VIGENTE"))))</f>
        <v/>
      </c>
      <c r="P28" s="49" t="n"/>
      <c r="Q28" s="17" t="n"/>
      <c r="R28" s="23" t="n"/>
      <c r="S28" s="16">
        <f>IF(R28="","",IFERROR(VLOOKUP(R28, A$9:B$28, 2, FALSE), "No existe"))</f>
        <v/>
      </c>
      <c r="T28" s="19" t="n"/>
      <c r="U28" s="19" t="n"/>
      <c r="V28" s="24">
        <f>IF(R28="","",T28+U28)</f>
        <v/>
      </c>
      <c r="W28" s="16" t="n"/>
    </row>
    <row r="29" ht="22.05" customHeight="1" s="32" thickBot="1">
      <c r="A29" s="35" t="inlineStr">
        <is>
          <t>TOTAL GENERAL CRÉDITOS</t>
        </is>
      </c>
      <c r="B29" s="102" t="n"/>
      <c r="C29" s="102" t="n"/>
      <c r="D29" s="102" t="n"/>
      <c r="E29" s="103" t="n"/>
      <c r="F29" s="25">
        <f>SUM(F9:F28)</f>
        <v/>
      </c>
      <c r="G29" s="26" t="n"/>
      <c r="H29" s="25">
        <f>SUM(H9:H28)</f>
        <v/>
      </c>
      <c r="I29" s="25">
        <f>SUM(I9:I28)</f>
        <v/>
      </c>
      <c r="J29" s="25">
        <f>SUM(J9:J28)</f>
        <v/>
      </c>
      <c r="K29" s="25">
        <f>SUM(K9:K28)</f>
        <v/>
      </c>
      <c r="L29" s="25">
        <f>SUM(L9:L28)</f>
        <v/>
      </c>
      <c r="M29" s="25">
        <f>SUM(M9:M28)</f>
        <v/>
      </c>
      <c r="N29" s="25">
        <f>SUM(N9:N28)</f>
        <v/>
      </c>
      <c r="O29" s="26" t="n"/>
      <c r="P29" s="49" t="n"/>
      <c r="Q29" s="7" t="n"/>
      <c r="R29" s="13" t="n"/>
      <c r="S29" s="6">
        <f>IF(R29="","",IFERROR(VLOOKUP(R29, A$9:B$28, 2, FALSE), "No existe"))</f>
        <v/>
      </c>
      <c r="T29" s="9" t="n"/>
      <c r="U29" s="9" t="n"/>
      <c r="V29" s="14">
        <f>IF(R29="","",T29+U29)</f>
        <v/>
      </c>
      <c r="W29" s="6" t="n"/>
    </row>
    <row r="30" ht="22.05" customHeight="1" s="32" thickTop="1">
      <c r="P30" s="49" t="n"/>
      <c r="Q30" s="17" t="n"/>
      <c r="R30" s="23" t="n"/>
      <c r="S30" s="16">
        <f>IF(R30="","",IFERROR(VLOOKUP(R30, A$9:B$28, 2, FALSE), "No existe"))</f>
        <v/>
      </c>
      <c r="T30" s="19" t="n"/>
      <c r="U30" s="19" t="n"/>
      <c r="V30" s="24">
        <f>IF(R30="","",T30+U30)</f>
        <v/>
      </c>
      <c r="W30" s="16" t="n"/>
    </row>
    <row r="31" ht="22.05" customHeight="1" s="32">
      <c r="P31" s="49" t="n"/>
      <c r="Q31" s="7" t="n"/>
      <c r="R31" s="13" t="n"/>
      <c r="S31" s="6">
        <f>IF(R31="","",IFERROR(VLOOKUP(R31, A$9:B$28, 2, FALSE), "No existe"))</f>
        <v/>
      </c>
      <c r="T31" s="9" t="n"/>
      <c r="U31" s="9" t="n"/>
      <c r="V31" s="14">
        <f>IF(R31="","",T31+U31)</f>
        <v/>
      </c>
      <c r="W31" s="6" t="n"/>
    </row>
    <row r="32" ht="22.05" customHeight="1" s="32">
      <c r="P32" s="49" t="n"/>
      <c r="Q32" s="17" t="n"/>
      <c r="R32" s="23" t="n"/>
      <c r="S32" s="16">
        <f>IF(R32="","",IFERROR(VLOOKUP(R32, A$9:B$28, 2, FALSE), "No existe"))</f>
        <v/>
      </c>
      <c r="T32" s="19" t="n"/>
      <c r="U32" s="19" t="n"/>
      <c r="V32" s="24">
        <f>IF(R32="","",T32+U32)</f>
        <v/>
      </c>
      <c r="W32" s="16" t="n"/>
    </row>
    <row r="33" ht="22.05" customHeight="1" s="32">
      <c r="P33" s="49" t="n"/>
      <c r="Q33" s="7" t="n"/>
      <c r="R33" s="13" t="n"/>
      <c r="S33" s="6">
        <f>IF(R33="","",IFERROR(VLOOKUP(R33, A$9:B$28, 2, FALSE), "No existe"))</f>
        <v/>
      </c>
      <c r="T33" s="9" t="n"/>
      <c r="U33" s="9" t="n"/>
      <c r="V33" s="14">
        <f>IF(R33="","",T33+U33)</f>
        <v/>
      </c>
      <c r="W33" s="6" t="n"/>
    </row>
    <row r="34" ht="22.05" customHeight="1" s="32">
      <c r="P34" s="49" t="n"/>
      <c r="Q34" s="17" t="n"/>
      <c r="R34" s="23" t="n"/>
      <c r="S34" s="16">
        <f>IF(R34="","",IFERROR(VLOOKUP(R34, A$9:B$28, 2, FALSE), "No existe"))</f>
        <v/>
      </c>
      <c r="T34" s="19" t="n"/>
      <c r="U34" s="19" t="n"/>
      <c r="V34" s="24">
        <f>IF(R34="","",T34+U34)</f>
        <v/>
      </c>
      <c r="W34" s="16" t="n"/>
    </row>
    <row r="35" ht="22.05" customHeight="1" s="32">
      <c r="P35" s="49" t="n"/>
      <c r="Q35" s="7" t="n"/>
      <c r="R35" s="13" t="n"/>
      <c r="S35" s="6">
        <f>IF(R35="","",IFERROR(VLOOKUP(R35, A$9:B$28, 2, FALSE), "No existe"))</f>
        <v/>
      </c>
      <c r="T35" s="9" t="n"/>
      <c r="U35" s="9" t="n"/>
      <c r="V35" s="14">
        <f>IF(R35="","",T35+U35)</f>
        <v/>
      </c>
      <c r="W35" s="6" t="n"/>
    </row>
    <row r="36" ht="22.05" customHeight="1" s="32">
      <c r="P36" s="49" t="n"/>
      <c r="Q36" s="17" t="n"/>
      <c r="R36" s="23" t="n"/>
      <c r="S36" s="16">
        <f>IF(R36="","",IFERROR(VLOOKUP(R36, A$9:B$28, 2, FALSE), "No existe"))</f>
        <v/>
      </c>
      <c r="T36" s="19" t="n"/>
      <c r="U36" s="19" t="n"/>
      <c r="V36" s="24">
        <f>IF(R36="","",T36+U36)</f>
        <v/>
      </c>
      <c r="W36" s="16" t="n"/>
    </row>
    <row r="37" ht="22.05" customHeight="1" s="32">
      <c r="P37" s="49" t="n"/>
      <c r="Q37" s="7" t="n"/>
      <c r="R37" s="13" t="n"/>
      <c r="S37" s="6">
        <f>IF(R37="","",IFERROR(VLOOKUP(R37, A$9:B$28, 2, FALSE), "No existe"))</f>
        <v/>
      </c>
      <c r="T37" s="9" t="n"/>
      <c r="U37" s="9" t="n"/>
      <c r="V37" s="14">
        <f>IF(R37="","",T37+U37)</f>
        <v/>
      </c>
      <c r="W37" s="6" t="n"/>
    </row>
    <row r="38" ht="22.05" customHeight="1" s="32">
      <c r="P38" s="49" t="n"/>
      <c r="Q38" s="17" t="n"/>
      <c r="R38" s="23" t="n"/>
      <c r="S38" s="16">
        <f>IF(R38="","",IFERROR(VLOOKUP(R38, A$9:B$28, 2, FALSE), "No existe"))</f>
        <v/>
      </c>
      <c r="T38" s="19" t="n"/>
      <c r="U38" s="19" t="n"/>
      <c r="V38" s="24">
        <f>IF(R38="","",T38+U38)</f>
        <v/>
      </c>
      <c r="W38" s="16" t="n"/>
    </row>
    <row r="39" ht="22.05" customHeight="1" s="32">
      <c r="P39" s="49" t="n"/>
      <c r="Q39" s="7" t="n"/>
      <c r="R39" s="13" t="n"/>
      <c r="S39" s="6">
        <f>IF(R39="","",IFERROR(VLOOKUP(R39, A$9:B$28, 2, FALSE), "No existe"))</f>
        <v/>
      </c>
      <c r="T39" s="9" t="n"/>
      <c r="U39" s="9" t="n"/>
      <c r="V39" s="14">
        <f>IF(R39="","",T39+U39)</f>
        <v/>
      </c>
      <c r="W39" s="6" t="n"/>
    </row>
    <row r="40" ht="22.05" customHeight="1" s="32">
      <c r="P40" s="49" t="n"/>
      <c r="Q40" s="17" t="n"/>
      <c r="R40" s="23" t="n"/>
      <c r="S40" s="16">
        <f>IF(R40="","",IFERROR(VLOOKUP(R40, A$9:B$28, 2, FALSE), "No existe"))</f>
        <v/>
      </c>
      <c r="T40" s="19" t="n"/>
      <c r="U40" s="19" t="n"/>
      <c r="V40" s="24">
        <f>IF(R40="","",T40+U40)</f>
        <v/>
      </c>
      <c r="W40" s="16" t="n"/>
    </row>
    <row r="41" ht="28.05" customHeight="1" s="32" thickBot="1">
      <c r="P41" s="49" t="n"/>
      <c r="Q41" s="37" t="inlineStr">
        <is>
          <t>TOTAL ABONOS REGISTRADOS</t>
        </is>
      </c>
      <c r="R41" s="104" t="n"/>
      <c r="S41" s="105" t="n"/>
      <c r="T41" s="27">
        <f>SUM(T9:T40)</f>
        <v/>
      </c>
      <c r="U41" s="27">
        <f>SUM(U9:U40)</f>
        <v/>
      </c>
      <c r="V41" s="27">
        <f>SUM(V9:V40)</f>
        <v/>
      </c>
      <c r="W41" s="28" t="n"/>
    </row>
    <row r="42" ht="15" customHeight="1" s="32" thickTop="1">
      <c r="P42" s="49" t="n"/>
    </row>
    <row r="43">
      <c r="P43" s="49" t="n"/>
    </row>
    <row r="44" ht="25.95" customHeight="1" s="32">
      <c r="A44" s="39" t="inlineStr">
        <is>
          <t>💡 GUÍA DE USO PARA SANTIAGO: CÓMO CONGELAR INTERESES A LA FECHA DE PAGO</t>
        </is>
      </c>
    </row>
    <row r="45" ht="19.95" customHeight="1" s="32">
      <c r="A45" s="29" t="inlineStr">
        <is>
          <t>✔</t>
        </is>
      </c>
      <c r="B45" s="31" t="inlineStr">
        <is>
          <t>1. Casilla 'Fecha Pago / Liquidación' (Columna D): Cuando una persona termine de pagar o liquide el crédito, anotas la fecha exacta en la Columna D. Mientras el crédito siga activo, deja esta casilla vacía.</t>
        </is>
      </c>
    </row>
    <row r="46" ht="19.95" customHeight="1" s="32">
      <c r="A46" s="29" t="inlineStr">
        <is>
          <t>✔</t>
        </is>
      </c>
      <c r="B46" s="31" t="inlineStr">
        <is>
          <t>2. Casilla 'Intereses a Fecha Pago' (Columna I): Al colocar la fecha de pago en la columna D, esta casilla calcula los intereses EXACTOS generados desde la fecha inicial hasta ese día específico, y se CONGELA. Ya no sumará más días ni intereses fantasmas.</t>
        </is>
      </c>
    </row>
    <row r="47" ht="19.95" customHeight="1" s="32">
      <c r="A47" s="29" t="inlineStr">
        <is>
          <t>✔</t>
        </is>
      </c>
      <c r="B47" s="31" t="inlineStr">
        <is>
          <t>3. Casilla 'Intereses a Hoy' (Columna H): Para créditos abiertos (sin fecha de pago), esta casilla sigue corriendo en vivo hasta HOY gracias a la fórmula =HOY(), permitiéndote saber cuánto debe al momento de abrir el archivo.</t>
        </is>
      </c>
    </row>
    <row r="48" ht="19.95" customHeight="1" s="32">
      <c r="A48" s="29" t="inlineStr">
        <is>
          <t>✔</t>
        </is>
      </c>
      <c r="B48" s="31" t="inlineStr">
        <is>
          <t>4. Saldo y Liquidación Definitiva (Columna K): La fórmula del Saldo de Interés detecta automáticamente si el crédito ya se canceló: si tiene fecha de pago, liquida contra los intereses congelados; si está abierto, liquida contra los intereses de hoy.</t>
        </is>
      </c>
    </row>
    <row r="49" ht="19.95" customHeight="1" s="32">
      <c r="A49" s="29" t="inlineStr">
        <is>
          <t>✔</t>
        </is>
      </c>
      <c r="B49" s="31" t="inlineStr">
        <is>
          <t>5. Registro de Múltiples Abonos (Lado Derecho): Todos los abonos parciales (sean 1, 2, 5 o más) se siguen registrando en la tabla derecha (Columnas Q a W) con su fecha y medio de pago, y se suman solos a la izquierda.</t>
        </is>
      </c>
    </row>
  </sheetData>
  <mergeCells count="31">
    <mergeCell ref="S4:T4"/>
    <mergeCell ref="F4:G4"/>
    <mergeCell ref="A7:O7"/>
    <mergeCell ref="A44:W44"/>
    <mergeCell ref="J5:K5"/>
    <mergeCell ref="B49:W49"/>
    <mergeCell ref="H4:I4"/>
    <mergeCell ref="A1:W1"/>
    <mergeCell ref="B45:W45"/>
    <mergeCell ref="Q7:W7"/>
    <mergeCell ref="F5:G5"/>
    <mergeCell ref="Q5:R5"/>
    <mergeCell ref="Q4:R4"/>
    <mergeCell ref="B47:W47"/>
    <mergeCell ref="J4:K4"/>
    <mergeCell ref="U5:W5"/>
    <mergeCell ref="Q41:S41"/>
    <mergeCell ref="B46:W46"/>
    <mergeCell ref="U4:W4"/>
    <mergeCell ref="D4:E4"/>
    <mergeCell ref="A2:W2"/>
    <mergeCell ref="L5:O5"/>
    <mergeCell ref="B48:W48"/>
    <mergeCell ref="A29:E29"/>
    <mergeCell ref="B3:D3"/>
    <mergeCell ref="B5:C5"/>
    <mergeCell ref="S5:T5"/>
    <mergeCell ref="D5:E5"/>
    <mergeCell ref="L4:O4"/>
    <mergeCell ref="H5:I5"/>
    <mergeCell ref="B4:C4"/>
  </mergeCells>
  <conditionalFormatting sqref="O9:O28">
    <cfRule type="cellIs" priority="1" operator="equal" dxfId="2" stopIfTrue="1">
      <formula>"PAGADO"</formula>
    </cfRule>
    <cfRule type="cellIs" priority="2" operator="equal" dxfId="1" stopIfTrue="1">
      <formula>"PENDIENTE"</formula>
    </cfRule>
    <cfRule type="cellIs" priority="3" operator="equal" dxfId="0" stopIfTrue="1">
      <formula>"VIGENTE"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N9" sqref="N9"/>
    </sheetView>
  </sheetViews>
  <sheetFormatPr baseColWidth="10" defaultColWidth="8.88671875" defaultRowHeight="14.4"/>
  <cols>
    <col width="5" customWidth="1" style="32" min="1" max="1"/>
    <col width="15.77734375" customWidth="1" style="32" min="2" max="2"/>
    <col width="13" customWidth="1" style="32" min="3" max="3"/>
    <col width="15" customWidth="1" style="32" min="4" max="4"/>
    <col width="7" customWidth="1" style="32" min="5" max="5"/>
    <col width="16" customWidth="1" style="32" min="6" max="6"/>
    <col width="10" customWidth="1" style="32" min="7" max="7"/>
    <col width="16" customWidth="1" style="32" min="8" max="10"/>
    <col width="14" customWidth="1" style="32" min="11" max="11"/>
    <col width="16" customWidth="1" style="32" min="12" max="12"/>
    <col width="15" customWidth="1" style="32" min="13" max="13"/>
    <col width="16" customWidth="1" style="32" min="14" max="14"/>
    <col width="12" customWidth="1" style="32" min="15" max="15"/>
    <col width="3" customWidth="1" style="32" min="16" max="16"/>
    <col width="13" customWidth="1" style="32" min="17" max="17"/>
    <col width="10" customWidth="1" style="32" min="18" max="18"/>
    <col width="24" customWidth="1" style="32" min="19" max="19"/>
    <col width="16" customWidth="1" style="32" min="20" max="21"/>
    <col width="15" customWidth="1" style="32" min="22" max="22"/>
    <col width="24.77734375" customWidth="1" style="32" min="23" max="23"/>
  </cols>
  <sheetData>
    <row r="1" ht="42" customHeight="1" s="32">
      <c r="A1" s="48" t="inlineStr">
        <is>
          <t>💰 SISTEMA DE CONTROL DE CRÉDITOS, INTERESES CONGELADOS A FECHA DE PAGO Y ABONOS - NATILLERA</t>
        </is>
      </c>
    </row>
    <row r="2" ht="22.05" customHeight="1" s="32">
      <c r="A2" s="50" t="inlineStr">
        <is>
          <t>Administrador: Santiago | Actualización Automática con =HOY() | Los intereses se congelan a la Fecha de Pago para no seguir acumulando cobros</t>
        </is>
      </c>
    </row>
    <row r="3" ht="24" customHeight="1" s="32">
      <c r="B3" s="109">
        <f>HYPERLINK("#Dashboard!A1", "⬅ VOLVER AL DASHBOARD GLOBAL")</f>
        <v/>
      </c>
      <c r="P3" s="49" t="n"/>
    </row>
    <row r="4" ht="19.05" customHeight="1" s="32">
      <c r="B4" s="51" t="inlineStr">
        <is>
          <t>FECHA DE HOY</t>
        </is>
      </c>
      <c r="C4" s="97" t="n"/>
      <c r="D4" s="51" t="inlineStr">
        <is>
          <t>TOTAL PRESTADO</t>
        </is>
      </c>
      <c r="E4" s="97" t="n"/>
      <c r="F4" s="52" t="inlineStr">
        <is>
          <t>CAPITAL EN LA CALLE</t>
        </is>
      </c>
      <c r="G4" s="97" t="n"/>
      <c r="H4" s="51" t="inlineStr">
        <is>
          <t>INTERESES A FECHA DE PAGO</t>
        </is>
      </c>
      <c r="I4" s="97" t="n"/>
      <c r="J4" s="53" t="inlineStr">
        <is>
          <t>INTERESES POR COBRAR</t>
        </is>
      </c>
      <c r="K4" s="97" t="n"/>
      <c r="L4" s="40" t="inlineStr">
        <is>
          <t>TOTAL POR COBRAR GENERAL</t>
        </is>
      </c>
      <c r="M4" s="98" t="n"/>
      <c r="N4" s="98" t="n"/>
      <c r="O4" s="97" t="n"/>
      <c r="P4" s="49" t="n"/>
      <c r="Q4" s="54" t="inlineStr">
        <is>
          <t>ABONOS A INTERÉS</t>
        </is>
      </c>
      <c r="R4" s="97" t="n"/>
      <c r="S4" s="54" t="inlineStr">
        <is>
          <t>ABONOS A CAPITAL</t>
        </is>
      </c>
      <c r="T4" s="97" t="n"/>
      <c r="U4" s="40" t="inlineStr">
        <is>
          <t>TOTAL RECAUDADO EN ABONOS</t>
        </is>
      </c>
      <c r="V4" s="98" t="n"/>
      <c r="W4" s="97" t="n"/>
    </row>
    <row r="5" ht="28.05" customHeight="1" s="32">
      <c r="B5" s="42">
        <f>TODAY()</f>
        <v/>
      </c>
      <c r="C5" s="97" t="n"/>
      <c r="D5" s="43">
        <f>F19</f>
        <v/>
      </c>
      <c r="E5" s="97" t="n"/>
      <c r="F5" s="44">
        <f>M19</f>
        <v/>
      </c>
      <c r="G5" s="97" t="n"/>
      <c r="H5" s="43">
        <f>I19</f>
        <v/>
      </c>
      <c r="I5" s="97" t="n"/>
      <c r="J5" s="45">
        <f>K19</f>
        <v/>
      </c>
      <c r="K5" s="97" t="n"/>
      <c r="L5" s="46">
        <f>N19</f>
        <v/>
      </c>
      <c r="M5" s="98" t="n"/>
      <c r="N5" s="98" t="n"/>
      <c r="O5" s="97" t="n"/>
      <c r="P5" s="49" t="n"/>
      <c r="Q5" s="47">
        <f>I19</f>
        <v/>
      </c>
      <c r="R5" s="97" t="n"/>
      <c r="S5" s="47">
        <f>L19</f>
        <v/>
      </c>
      <c r="T5" s="97" t="n"/>
      <c r="U5" s="46">
        <f>Q5+S5</f>
        <v/>
      </c>
      <c r="V5" s="98" t="n"/>
      <c r="W5" s="97" t="n"/>
    </row>
    <row r="6">
      <c r="P6" s="49" t="n"/>
    </row>
    <row r="7" ht="25.05" customHeight="1" s="32">
      <c r="A7" s="33" t="inlineStr">
        <is>
          <t>📋 TABLA DE CRÉDITOS Y LIQUIDACIÓN (Con congelamiento de intereses a la fecha de pago)</t>
        </is>
      </c>
      <c r="P7" s="49" t="n"/>
      <c r="Q7" s="34" t="inlineStr">
        <is>
          <t>💳 REGISTRO DE ABONOS RECIBIDOS (Permite múltiples pagos por crédito)</t>
        </is>
      </c>
    </row>
    <row r="8" ht="31.95" customHeight="1" s="32">
      <c r="A8" s="2" t="inlineStr">
        <is>
          <t>N°</t>
        </is>
      </c>
      <c r="B8" s="2" t="inlineStr">
        <is>
          <t>Nombre del Socio / Deudor</t>
        </is>
      </c>
      <c r="C8" s="2" t="inlineStr">
        <is>
          <t>Fecha Crédito</t>
        </is>
      </c>
      <c r="D8" s="3" t="inlineStr">
        <is>
          <t>Fecha Pago / Liquidación</t>
        </is>
      </c>
      <c r="E8" s="2" t="inlineStr">
        <is>
          <t>Días</t>
        </is>
      </c>
      <c r="F8" s="2" t="inlineStr">
        <is>
          <t>Valor Crédito (Capital)</t>
        </is>
      </c>
      <c r="G8" s="2" t="inlineStr">
        <is>
          <t>Tasa Mes</t>
        </is>
      </c>
      <c r="H8" s="2" t="inlineStr">
        <is>
          <t>Intereses a Hoy (En Vivo)</t>
        </is>
      </c>
      <c r="I8" s="3" t="inlineStr">
        <is>
          <t>Intereses a Fecha Pago</t>
        </is>
      </c>
      <c r="J8" s="2" t="inlineStr">
        <is>
          <t>Total Abono Interés</t>
        </is>
      </c>
      <c r="K8" s="2" t="inlineStr">
        <is>
          <t>Saldo Interés</t>
        </is>
      </c>
      <c r="L8" s="2" t="inlineStr">
        <is>
          <t>Total Abono Capital</t>
        </is>
      </c>
      <c r="M8" s="2" t="inlineStr">
        <is>
          <t>Saldo Capital</t>
        </is>
      </c>
      <c r="N8" s="2" t="inlineStr">
        <is>
          <t>Total a Pagar Hoy</t>
        </is>
      </c>
      <c r="O8" s="2" t="inlineStr">
        <is>
          <t>Estado</t>
        </is>
      </c>
      <c r="P8" s="49" t="n"/>
      <c r="Q8" s="4" t="inlineStr">
        <is>
          <t>Fecha Pago</t>
        </is>
      </c>
      <c r="R8" s="4" t="inlineStr">
        <is>
          <t>N° Crédito</t>
        </is>
      </c>
      <c r="S8" s="4" t="inlineStr">
        <is>
          <t>Socio (Automático)</t>
        </is>
      </c>
      <c r="T8" s="4" t="inlineStr">
        <is>
          <t>Abono a Intereses</t>
        </is>
      </c>
      <c r="U8" s="4" t="inlineStr">
        <is>
          <t>Abono a Capital</t>
        </is>
      </c>
      <c r="V8" s="4" t="inlineStr">
        <is>
          <t>Total Abonado</t>
        </is>
      </c>
      <c r="W8" s="4" t="inlineStr">
        <is>
          <t>Medio / Comprobante</t>
        </is>
      </c>
    </row>
    <row r="9" ht="22.05" customHeight="1" s="32">
      <c r="A9" s="5" t="n">
        <v>1</v>
      </c>
      <c r="B9" s="6" t="inlineStr">
        <is>
          <t>Andres Castro</t>
        </is>
      </c>
      <c r="C9" s="7" t="n">
        <v>46239</v>
      </c>
      <c r="D9" s="7" t="n"/>
      <c r="E9" s="8">
        <f>IF(C9="","",IF(D9&lt;&gt;"",D9-C9,TODAY()-C9))</f>
        <v/>
      </c>
      <c r="F9" s="9" t="n">
        <v>2000000</v>
      </c>
      <c r="G9" s="10" t="n">
        <v>0.005</v>
      </c>
      <c r="H9" s="9">
        <f>IF(F9="","",ROUND(F9*(G9/30)*(TODAY()-C9),0))</f>
        <v/>
      </c>
      <c r="I9" s="19">
        <f>IF(F9="","",IF(D9&lt;&gt;"",ROUND(F9*(G9/30)*(D9-C9),0),"-"))</f>
        <v/>
      </c>
      <c r="J9" s="9">
        <f>IF(F9="","",SUMIF(R$9:R$19, A9, T$9:T$19))</f>
        <v/>
      </c>
      <c r="K9" s="9">
        <f>IF(F9="","",MAX(0,IF(D9&lt;&gt;"",I9,H9)-J9))</f>
        <v/>
      </c>
      <c r="L9" s="9">
        <f>IF(F9="","",SUMIF(R$9:R$19, A9, U$9:U$19))</f>
        <v/>
      </c>
      <c r="M9" s="9">
        <f>IF(F9="","",MAX(0,F9-L9))</f>
        <v/>
      </c>
      <c r="N9" s="11">
        <f>IF(F9="","",K9+M9)</f>
        <v/>
      </c>
      <c r="O9" s="12">
        <f>IF(F9="","",IF(N9&lt;=0,"PAGADO",IF(D9&lt;&gt;"","PAGADO",IF(E9&gt;30,"PENDIENTE","VIGENTE"))))</f>
        <v/>
      </c>
      <c r="P9" s="49" t="n"/>
      <c r="Q9" s="7" t="n"/>
      <c r="R9" s="13" t="n"/>
      <c r="S9" s="6">
        <f>IF(R9="","",IFERROR(VLOOKUP(R9, A$9:B$18, 2, FALSE), "No existe"))</f>
        <v/>
      </c>
      <c r="T9" s="9" t="n">
        <v>0</v>
      </c>
      <c r="U9" s="9" t="n"/>
      <c r="V9" s="14">
        <f>IF(R9="","",T9+U9)</f>
        <v/>
      </c>
      <c r="W9" s="6" t="n"/>
    </row>
    <row r="10" ht="22.05" customHeight="1" s="32">
      <c r="A10" s="15" t="n">
        <v>2</v>
      </c>
      <c r="B10" s="16" t="n"/>
      <c r="C10" s="17" t="n"/>
      <c r="D10" s="17" t="n"/>
      <c r="E10" s="18">
        <f>IF(C10="","",IF(D10&lt;&gt;"",D10-C10,TODAY()-C10))</f>
        <v/>
      </c>
      <c r="F10" s="19" t="n"/>
      <c r="G10" s="20" t="n">
        <v>0.005</v>
      </c>
      <c r="H10" s="19">
        <f>IF(F10="","",ROUND(F10*(G10/30)*(TODAY()-C10),0))</f>
        <v/>
      </c>
      <c r="I10" s="19">
        <f>IF(F10="","",IF(D10&lt;&gt;"",ROUND(F10*(G10/30)*(D10-C10),0),"-"))</f>
        <v/>
      </c>
      <c r="J10" s="19">
        <f>IF(F10="","",SUMIF(R$9:R$19, A10, T$9:T$19))</f>
        <v/>
      </c>
      <c r="K10" s="19">
        <f>IF(F10="","",MAX(0,IF(D10&lt;&gt;"",I10,H10)-J10))</f>
        <v/>
      </c>
      <c r="L10" s="19">
        <f>IF(F10="","",SUMIF(R$9:R$19, A10, U$9:U$19))</f>
        <v/>
      </c>
      <c r="M10" s="19">
        <f>IF(F10="","",MAX(0,F10-L10))</f>
        <v/>
      </c>
      <c r="N10" s="21">
        <f>IF(F10="","",K10+M10)</f>
        <v/>
      </c>
      <c r="O10" s="22">
        <f>IF(F10="","",IF(N10&lt;=0,"PAGADO",IF(D10&lt;&gt;"","PAGADO",IF(E10&gt;30,"PENDIENTE","VIGENTE"))))</f>
        <v/>
      </c>
      <c r="P10" s="49" t="n"/>
      <c r="Q10" s="17" t="n"/>
      <c r="R10" s="23" t="n"/>
      <c r="S10" s="16">
        <f>IF(R10="","",IFERROR(VLOOKUP(R10, A$9:B$18, 2, FALSE), "No existe"))</f>
        <v/>
      </c>
      <c r="T10" s="19" t="n"/>
      <c r="U10" s="19" t="n"/>
      <c r="V10" s="24">
        <f>IF(R10="","",T10+U10)</f>
        <v/>
      </c>
      <c r="W10" s="16" t="n"/>
    </row>
    <row r="11" ht="22.05" customHeight="1" s="32">
      <c r="A11" s="5" t="n">
        <v>3</v>
      </c>
      <c r="B11" s="6" t="n"/>
      <c r="C11" s="7" t="n"/>
      <c r="D11" s="7" t="n"/>
      <c r="E11" s="8">
        <f>IF(C11="","",IF(D11&lt;&gt;"",D11-C11,TODAY()-C11))</f>
        <v/>
      </c>
      <c r="F11" s="9" t="n"/>
      <c r="G11" s="10" t="n">
        <v>0.005</v>
      </c>
      <c r="H11" s="9">
        <f>IF(F11="","",ROUND(F11*(G11/30)*(TODAY()-C11),0))</f>
        <v/>
      </c>
      <c r="I11" s="9">
        <f>IF(F11="","",IF(D11&lt;&gt;"",ROUND(F11*(G11/30)*(D11-C11),0),"-"))</f>
        <v/>
      </c>
      <c r="J11" s="9">
        <f>IF(F11="","",SUMIF(R$9:R$19, A11, T$9:T$19))</f>
        <v/>
      </c>
      <c r="K11" s="9">
        <f>IF(F11="","",MAX(0,IF(D11&lt;&gt;"",I11,H11)-J11))</f>
        <v/>
      </c>
      <c r="L11" s="9">
        <f>IF(F11="","",SUMIF(R$9:R$19, A11, U$9:U$19))</f>
        <v/>
      </c>
      <c r="M11" s="9">
        <f>IF(F11="","",MAX(0,F11-L11))</f>
        <v/>
      </c>
      <c r="N11" s="11">
        <f>IF(F11="","",K11+M11)</f>
        <v/>
      </c>
      <c r="O11" s="12">
        <f>IF(F11="","",IF(N11&lt;=0,"PAGADO",IF(D11&lt;&gt;"","PAGADO",IF(E11&gt;30,"PENDIENTE","VIGENTE"))))</f>
        <v/>
      </c>
      <c r="P11" s="49" t="n"/>
      <c r="Q11" s="7" t="n"/>
      <c r="R11" s="13" t="n"/>
      <c r="S11" s="6">
        <f>IF(R11="","",IFERROR(VLOOKUP(R11, A$9:B$18, 2, FALSE), "No existe"))</f>
        <v/>
      </c>
      <c r="T11" s="9" t="n"/>
      <c r="U11" s="9" t="n"/>
      <c r="V11" s="14">
        <f>IF(R11="","",T11+U11)</f>
        <v/>
      </c>
      <c r="W11" s="6" t="n"/>
    </row>
    <row r="12" ht="22.05" customHeight="1" s="32">
      <c r="A12" s="15" t="n">
        <v>4</v>
      </c>
      <c r="B12" s="16" t="n"/>
      <c r="C12" s="17" t="n"/>
      <c r="D12" s="17" t="n"/>
      <c r="E12" s="18">
        <f>IF(C12="","",IF(D12&lt;&gt;"",D12-C12,TODAY()-C12))</f>
        <v/>
      </c>
      <c r="F12" s="19" t="n"/>
      <c r="G12" s="20" t="n">
        <v>0.005</v>
      </c>
      <c r="H12" s="19">
        <f>IF(F12="","",ROUND(F12*(G12/30)*(TODAY()-C12),0))</f>
        <v/>
      </c>
      <c r="I12" s="19">
        <f>IF(F12="","",IF(D12&lt;&gt;"",ROUND(F12*(G12/30)*(D12-C12),0),"-"))</f>
        <v/>
      </c>
      <c r="J12" s="19">
        <f>IF(F12="","",SUMIF(R$9:R$19, A12, T$9:T$19))</f>
        <v/>
      </c>
      <c r="K12" s="19">
        <f>IF(F12="","",MAX(0,IF(D12&lt;&gt;"",I12,H12)-J12))</f>
        <v/>
      </c>
      <c r="L12" s="19">
        <f>IF(F12="","",SUMIF(R$9:R$19, A12, U$9:U$19))</f>
        <v/>
      </c>
      <c r="M12" s="19">
        <f>IF(F12="","",MAX(0,F12-L12))</f>
        <v/>
      </c>
      <c r="N12" s="21">
        <f>IF(F12="","",K12+M12)</f>
        <v/>
      </c>
      <c r="O12" s="22">
        <f>IF(F12="","",IF(N12&lt;=0,"PAGADO",IF(D12&lt;&gt;"","PAGADO",IF(E12&gt;30,"PENDIENTE","VIGENTE"))))</f>
        <v/>
      </c>
      <c r="P12" s="49" t="n"/>
      <c r="Q12" s="17" t="n"/>
      <c r="R12" s="23" t="n"/>
      <c r="S12" s="16">
        <f>IF(R12="","",IFERROR(VLOOKUP(R12, A$9:B$18, 2, FALSE), "No existe"))</f>
        <v/>
      </c>
      <c r="T12" s="19" t="n"/>
      <c r="U12" s="19" t="n"/>
      <c r="V12" s="24">
        <f>IF(R12="","",T12+U12)</f>
        <v/>
      </c>
      <c r="W12" s="16" t="n"/>
    </row>
    <row r="13" ht="22.05" customHeight="1" s="32">
      <c r="A13" s="5" t="n">
        <v>5</v>
      </c>
      <c r="B13" s="6" t="n"/>
      <c r="C13" s="7" t="n"/>
      <c r="D13" s="7" t="n"/>
      <c r="E13" s="8">
        <f>IF(C13="","",IF(D13&lt;&gt;"",D13-C13,TODAY()-C13))</f>
        <v/>
      </c>
      <c r="F13" s="9" t="n"/>
      <c r="G13" s="10" t="n">
        <v>0.005</v>
      </c>
      <c r="H13" s="9">
        <f>IF(F13="","",ROUND(F13*(G13/30)*(TODAY()-C13),0))</f>
        <v/>
      </c>
      <c r="I13" s="9">
        <f>IF(F13="","",IF(D13&lt;&gt;"",ROUND(F13*(G13/30)*(D13-C13),0),"-"))</f>
        <v/>
      </c>
      <c r="J13" s="9">
        <f>IF(F13="","",SUMIF(R$9:R$19, A13, T$9:T$19))</f>
        <v/>
      </c>
      <c r="K13" s="9">
        <f>IF(F13="","",MAX(0,IF(D13&lt;&gt;"",I13,H13)-J13))</f>
        <v/>
      </c>
      <c r="L13" s="9">
        <f>IF(F13="","",SUMIF(R$9:R$19, A13, U$9:U$19))</f>
        <v/>
      </c>
      <c r="M13" s="9">
        <f>IF(F13="","",MAX(0,F13-L13))</f>
        <v/>
      </c>
      <c r="N13" s="11">
        <f>IF(F13="","",K13+M13)</f>
        <v/>
      </c>
      <c r="O13" s="12">
        <f>IF(F13="","",IF(N13&lt;=0,"PAGADO",IF(D13&lt;&gt;"","PAGADO",IF(E13&gt;30,"PENDIENTE","VIGENTE"))))</f>
        <v/>
      </c>
      <c r="P13" s="49" t="n"/>
      <c r="Q13" s="7" t="n"/>
      <c r="R13" s="13" t="n"/>
      <c r="S13" s="6">
        <f>IF(R13="","",IFERROR(VLOOKUP(R13, A$9:B$18, 2, FALSE), "No existe"))</f>
        <v/>
      </c>
      <c r="T13" s="9" t="n"/>
      <c r="U13" s="9" t="n"/>
      <c r="V13" s="14">
        <f>IF(R13="","",T13+U13)</f>
        <v/>
      </c>
      <c r="W13" s="6" t="n"/>
    </row>
    <row r="14" ht="22.05" customHeight="1" s="32">
      <c r="A14" s="15" t="n">
        <v>6</v>
      </c>
      <c r="B14" s="16" t="n"/>
      <c r="C14" s="17" t="n"/>
      <c r="D14" s="17" t="n"/>
      <c r="E14" s="18">
        <f>IF(C14="","",IF(D14&lt;&gt;"",D14-C14,TODAY()-C14))</f>
        <v/>
      </c>
      <c r="F14" s="19" t="n"/>
      <c r="G14" s="20" t="n">
        <v>0.005</v>
      </c>
      <c r="H14" s="19">
        <f>IF(F14="","",ROUND(F14*(G14/30)*(TODAY()-C14),0))</f>
        <v/>
      </c>
      <c r="I14" s="19">
        <f>IF(F14="","",IF(D14&lt;&gt;"",ROUND(F14*(G14/30)*(D14-C14),0),"-"))</f>
        <v/>
      </c>
      <c r="J14" s="19">
        <f>IF(F14="","",SUMIF(R$9:R$19, A14, T$9:T$19))</f>
        <v/>
      </c>
      <c r="K14" s="19">
        <f>IF(F14="","",MAX(0,IF(D14&lt;&gt;"",I14,H14)-J14))</f>
        <v/>
      </c>
      <c r="L14" s="19">
        <f>IF(F14="","",SUMIF(R$9:R$19, A14, U$9:U$19))</f>
        <v/>
      </c>
      <c r="M14" s="19">
        <f>IF(F14="","",MAX(0,F14-L14))</f>
        <v/>
      </c>
      <c r="N14" s="21">
        <f>IF(F14="","",K14+M14)</f>
        <v/>
      </c>
      <c r="O14" s="22">
        <f>IF(F14="","",IF(N14&lt;=0,"PAGADO",IF(D14&lt;&gt;"","PAGADO",IF(E14&gt;30,"PENDIENTE","VIGENTE"))))</f>
        <v/>
      </c>
      <c r="P14" s="49" t="n"/>
      <c r="Q14" s="17" t="n"/>
      <c r="R14" s="23" t="n"/>
      <c r="S14" s="16">
        <f>IF(R14="","",IFERROR(VLOOKUP(R14, A$9:B$18, 2, FALSE), "No existe"))</f>
        <v/>
      </c>
      <c r="T14" s="19" t="n"/>
      <c r="U14" s="19" t="n"/>
      <c r="V14" s="24">
        <f>IF(R14="","",T14+U14)</f>
        <v/>
      </c>
      <c r="W14" s="16" t="n"/>
    </row>
    <row r="15" ht="22.05" customHeight="1" s="32">
      <c r="A15" s="5" t="n">
        <v>7</v>
      </c>
      <c r="B15" s="6" t="n"/>
      <c r="C15" s="7" t="n"/>
      <c r="D15" s="7" t="n"/>
      <c r="E15" s="8">
        <f>IF(C15="","",IF(D15&lt;&gt;"",D15-C15,TODAY()-C15))</f>
        <v/>
      </c>
      <c r="F15" s="9" t="n"/>
      <c r="G15" s="10" t="n">
        <v>0.005</v>
      </c>
      <c r="H15" s="9">
        <f>IF(F15="","",ROUND(F15*(G15/30)*(TODAY()-C15),0))</f>
        <v/>
      </c>
      <c r="I15" s="9">
        <f>IF(F15="","",IF(D15&lt;&gt;"",ROUND(F15*(G15/30)*(D15-C15),0),"-"))</f>
        <v/>
      </c>
      <c r="J15" s="9">
        <f>IF(F15="","",SUMIF(R$9:R$19, A15, T$9:T$19))</f>
        <v/>
      </c>
      <c r="K15" s="9">
        <f>IF(F15="","",MAX(0,IF(D15&lt;&gt;"",I15,H15)-J15))</f>
        <v/>
      </c>
      <c r="L15" s="9">
        <f>IF(F15="","",SUMIF(R$9:R$19, A15, U$9:U$19))</f>
        <v/>
      </c>
      <c r="M15" s="9">
        <f>IF(F15="","",MAX(0,F15-L15))</f>
        <v/>
      </c>
      <c r="N15" s="11">
        <f>IF(F15="","",K15+M15)</f>
        <v/>
      </c>
      <c r="O15" s="12">
        <f>IF(F15="","",IF(N15&lt;=0,"PAGADO",IF(D15&lt;&gt;"","PAGADO",IF(E15&gt;30,"PENDIENTE","VIGENTE"))))</f>
        <v/>
      </c>
      <c r="P15" s="49" t="n"/>
      <c r="Q15" s="7" t="n"/>
      <c r="R15" s="13" t="n"/>
      <c r="S15" s="6">
        <f>IF(R15="","",IFERROR(VLOOKUP(R15, A$9:B$18, 2, FALSE), "No existe"))</f>
        <v/>
      </c>
      <c r="T15" s="9" t="n"/>
      <c r="U15" s="9" t="n"/>
      <c r="V15" s="14">
        <f>IF(R15="","",T15+U15)</f>
        <v/>
      </c>
      <c r="W15" s="6" t="n"/>
    </row>
    <row r="16" ht="22.05" customHeight="1" s="32">
      <c r="A16" s="15" t="n">
        <v>8</v>
      </c>
      <c r="B16" s="16" t="n"/>
      <c r="C16" s="17" t="n"/>
      <c r="D16" s="17" t="n"/>
      <c r="E16" s="18">
        <f>IF(C16="","",IF(D16&lt;&gt;"",D16-C16,TODAY()-C16))</f>
        <v/>
      </c>
      <c r="F16" s="19" t="n"/>
      <c r="G16" s="20" t="n">
        <v>0.005</v>
      </c>
      <c r="H16" s="19">
        <f>IF(F16="","",ROUND(F16*(G16/30)*(TODAY()-C16),0))</f>
        <v/>
      </c>
      <c r="I16" s="19">
        <f>IF(F16="","",IF(D16&lt;&gt;"",ROUND(F16*(G16/30)*(D16-C16),0),"-"))</f>
        <v/>
      </c>
      <c r="J16" s="19">
        <f>IF(F16="","",SUMIF(R$9:R$19, A16, T$9:T$19))</f>
        <v/>
      </c>
      <c r="K16" s="19">
        <f>IF(F16="","",MAX(0,IF(D16&lt;&gt;"",I16,H16)-J16))</f>
        <v/>
      </c>
      <c r="L16" s="19">
        <f>IF(F16="","",SUMIF(R$9:R$19, A16, U$9:U$19))</f>
        <v/>
      </c>
      <c r="M16" s="19">
        <f>IF(F16="","",MAX(0,F16-L16))</f>
        <v/>
      </c>
      <c r="N16" s="21">
        <f>IF(F16="","",K16+M16)</f>
        <v/>
      </c>
      <c r="O16" s="22">
        <f>IF(F16="","",IF(N16&lt;=0,"PAGADO",IF(D16&lt;&gt;"","PAGADO",IF(E16&gt;30,"PENDIENTE","VIGENTE"))))</f>
        <v/>
      </c>
      <c r="P16" s="49" t="n"/>
      <c r="Q16" s="17" t="n"/>
      <c r="R16" s="23" t="n"/>
      <c r="S16" s="16">
        <f>IF(R16="","",IFERROR(VLOOKUP(R16, A$9:B$18, 2, FALSE), "No existe"))</f>
        <v/>
      </c>
      <c r="T16" s="19" t="n"/>
      <c r="U16" s="19" t="n"/>
      <c r="V16" s="24">
        <f>IF(R16="","",T16+U16)</f>
        <v/>
      </c>
      <c r="W16" s="16" t="n"/>
    </row>
    <row r="17" ht="22.05" customHeight="1" s="32">
      <c r="A17" s="5" t="n">
        <v>9</v>
      </c>
      <c r="B17" s="6" t="n"/>
      <c r="C17" s="7" t="n"/>
      <c r="D17" s="7" t="n"/>
      <c r="E17" s="8">
        <f>IF(C17="","",IF(D17&lt;&gt;"",D17-C17,TODAY()-C17))</f>
        <v/>
      </c>
      <c r="F17" s="9" t="n"/>
      <c r="G17" s="10" t="n">
        <v>0.005</v>
      </c>
      <c r="H17" s="9">
        <f>IF(F17="","",ROUND(F17*(G17/30)*(TODAY()-C17),0))</f>
        <v/>
      </c>
      <c r="I17" s="9">
        <f>IF(F17="","",IF(D17&lt;&gt;"",ROUND(F17*(G17/30)*(D17-C17),0),"-"))</f>
        <v/>
      </c>
      <c r="J17" s="9">
        <f>IF(F17="","",SUMIF(R$9:R$19, A17, T$9:T$19))</f>
        <v/>
      </c>
      <c r="K17" s="9">
        <f>IF(F17="","",MAX(0,IF(D17&lt;&gt;"",I17,H17)-J17))</f>
        <v/>
      </c>
      <c r="L17" s="9">
        <f>IF(F17="","",SUMIF(R$9:R$19, A17, U$9:U$19))</f>
        <v/>
      </c>
      <c r="M17" s="9">
        <f>IF(F17="","",MAX(0,F17-L17))</f>
        <v/>
      </c>
      <c r="N17" s="11">
        <f>IF(F17="","",K17+M17)</f>
        <v/>
      </c>
      <c r="O17" s="12">
        <f>IF(F17="","",IF(N17&lt;=0,"PAGADO",IF(D17&lt;&gt;"","PAGADO",IF(E17&gt;30,"PENDIENTE","VIGENTE"))))</f>
        <v/>
      </c>
      <c r="P17" s="49" t="n"/>
      <c r="Q17" s="7" t="n"/>
      <c r="R17" s="13" t="n"/>
      <c r="S17" s="6">
        <f>IF(R17="","",IFERROR(VLOOKUP(R17, A$9:B$18, 2, FALSE), "No existe"))</f>
        <v/>
      </c>
      <c r="T17" s="9" t="n"/>
      <c r="U17" s="9" t="n"/>
      <c r="V17" s="14">
        <f>IF(R17="","",T17+U17)</f>
        <v/>
      </c>
      <c r="W17" s="6" t="n"/>
    </row>
    <row r="18" ht="22.05" customHeight="1" s="32">
      <c r="A18" s="15" t="n">
        <v>10</v>
      </c>
      <c r="B18" s="16" t="n"/>
      <c r="C18" s="17" t="n"/>
      <c r="D18" s="17" t="n"/>
      <c r="E18" s="18">
        <f>IF(C18="","",IF(D18&lt;&gt;"",D18-C18,TODAY()-C18))</f>
        <v/>
      </c>
      <c r="F18" s="19" t="n"/>
      <c r="G18" s="20" t="n">
        <v>0.005</v>
      </c>
      <c r="H18" s="19">
        <f>IF(F18="","",ROUND(F18*(G18/30)*(TODAY()-C18),0))</f>
        <v/>
      </c>
      <c r="I18" s="19">
        <f>IF(F18="","",IF(D18&lt;&gt;"",ROUND(F18*(G18/30)*(D18-C18),0),"-"))</f>
        <v/>
      </c>
      <c r="J18" s="19">
        <f>IF(F18="","",SUMIF(R$9:R$19, A18, T$9:T$19))</f>
        <v/>
      </c>
      <c r="K18" s="19">
        <f>IF(F18="","",MAX(0,IF(D18&lt;&gt;"",I18,H18)-J18))</f>
        <v/>
      </c>
      <c r="L18" s="19">
        <f>IF(F18="","",SUMIF(R$9:R$19, A18, U$9:U$19))</f>
        <v/>
      </c>
      <c r="M18" s="19">
        <f>IF(F18="","",MAX(0,F18-L18))</f>
        <v/>
      </c>
      <c r="N18" s="21">
        <f>IF(F18="","",K18+M18)</f>
        <v/>
      </c>
      <c r="O18" s="22">
        <f>IF(F18="","",IF(N18&lt;=0,"PAGADO",IF(D18&lt;&gt;"","PAGADO",IF(E18&gt;30,"PENDIENTE","VIGENTE"))))</f>
        <v/>
      </c>
      <c r="P18" s="49" t="n"/>
      <c r="Q18" s="17" t="n"/>
      <c r="R18" s="23" t="n"/>
      <c r="S18" s="16">
        <f>IF(R18="","",IFERROR(VLOOKUP(R18, A$9:B$18, 2, FALSE), "No existe"))</f>
        <v/>
      </c>
      <c r="T18" s="19" t="n"/>
      <c r="U18" s="19" t="n"/>
      <c r="V18" s="24">
        <f>IF(R18="","",T18+U18)</f>
        <v/>
      </c>
      <c r="W18" s="16" t="n"/>
    </row>
    <row r="19" ht="22.05" customHeight="1" s="32" thickBot="1">
      <c r="A19" s="35" t="inlineStr">
        <is>
          <t>TOTAL GENERAL CRÉDITOS</t>
        </is>
      </c>
      <c r="B19" s="102" t="n"/>
      <c r="C19" s="102" t="n"/>
      <c r="D19" s="102" t="n"/>
      <c r="E19" s="103" t="n"/>
      <c r="F19" s="25">
        <f>SUM(F9:F18)</f>
        <v/>
      </c>
      <c r="G19" s="26" t="n"/>
      <c r="H19" s="25">
        <f>SUM(H9:H18)</f>
        <v/>
      </c>
      <c r="I19" s="25">
        <f>SUM(I9:I18)</f>
        <v/>
      </c>
      <c r="J19" s="25">
        <f>SUM(J9:J18)</f>
        <v/>
      </c>
      <c r="K19" s="25">
        <f>SUM(K9:K18)</f>
        <v/>
      </c>
      <c r="L19" s="25">
        <f>SUM(L9:L18)</f>
        <v/>
      </c>
      <c r="M19" s="25">
        <f>SUM(M9:M18)</f>
        <v/>
      </c>
      <c r="N19" s="25">
        <f>SUM(N9:N18)</f>
        <v/>
      </c>
      <c r="O19" s="26" t="n"/>
      <c r="P19" s="49" t="n"/>
      <c r="Q19" s="7" t="n"/>
      <c r="R19" s="13" t="n"/>
      <c r="S19" s="6">
        <f>IF(R19="","",IFERROR(VLOOKUP(R19, A$9:B$18, 2, FALSE), "No existe"))</f>
        <v/>
      </c>
      <c r="T19" s="9" t="n"/>
      <c r="U19" s="9" t="n"/>
      <c r="V19" s="14">
        <f>IF(R19="","",T19+U19)</f>
        <v/>
      </c>
      <c r="W19" s="6" t="n"/>
    </row>
    <row r="20" ht="28.05" customHeight="1" s="32" thickBot="1" thickTop="1">
      <c r="P20" s="49" t="n"/>
      <c r="Q20" s="37" t="inlineStr">
        <is>
          <t>TOTAL ABONOS REGISTRADOS</t>
        </is>
      </c>
      <c r="R20" s="104" t="n"/>
      <c r="S20" s="105" t="n"/>
      <c r="T20" s="27">
        <f>SUM(T9:T19)</f>
        <v/>
      </c>
      <c r="U20" s="27">
        <f>SUM(U9:U19)</f>
        <v/>
      </c>
      <c r="V20" s="27">
        <f>SUM(V9:V19)</f>
        <v/>
      </c>
      <c r="W20" s="28" t="n"/>
    </row>
    <row r="21" ht="15" customHeight="1" s="32" thickTop="1">
      <c r="P21" s="49" t="n"/>
    </row>
    <row r="22">
      <c r="P22" s="49" t="n"/>
    </row>
    <row r="23" ht="25.95" customHeight="1" s="32">
      <c r="A23" s="39" t="inlineStr">
        <is>
          <t>💡 GUÍA DE USO PARA SANTIAGO: CÓMO CONGELAR INTERESES A LA FECHA DE PAGO</t>
        </is>
      </c>
    </row>
    <row r="24" ht="19.95" customHeight="1" s="32">
      <c r="A24" s="29" t="inlineStr">
        <is>
          <t>✔</t>
        </is>
      </c>
      <c r="B24" s="31" t="inlineStr">
        <is>
          <t>1. Casilla 'Fecha Pago / Liquidación' (Columna D): Cuando una persona termine de pagar o liquide el crédito, anotas la fecha exacta en la Columna D. Mientras el crédito siga activo, deja esta casilla vacía.</t>
        </is>
      </c>
    </row>
    <row r="25" ht="19.95" customHeight="1" s="32">
      <c r="A25" s="29" t="inlineStr">
        <is>
          <t>✔</t>
        </is>
      </c>
      <c r="B25" s="31" t="inlineStr">
        <is>
          <t>2. Casilla 'Intereses a Fecha Pago' (Columna I): Al colocar la fecha de pago en la columna D, esta casilla calcula los intereses EXACTOS generados desde la fecha inicial hasta ese día específico, y se CONGELA. Ya no sumará más días ni intereses fantasmas.</t>
        </is>
      </c>
    </row>
    <row r="26" ht="19.95" customHeight="1" s="32">
      <c r="A26" s="29" t="inlineStr">
        <is>
          <t>✔</t>
        </is>
      </c>
      <c r="B26" s="31" t="inlineStr">
        <is>
          <t>3. Casilla 'Intereses a Hoy' (Columna H): Para créditos abiertos (sin fecha de pago), esta casilla sigue corriendo en vivo hasta HOY gracias a la fórmula =HOY(), permitiéndote saber cuánto debe al momento de abrir el archivo.</t>
        </is>
      </c>
    </row>
    <row r="27" ht="19.95" customHeight="1" s="32">
      <c r="A27" s="29" t="inlineStr">
        <is>
          <t>✔</t>
        </is>
      </c>
      <c r="B27" s="31" t="inlineStr">
        <is>
          <t>4. Saldo y Liquidación Definitiva (Columna K): La fórmula del Saldo de Interés detecta automáticamente si el crédito ya se canceló: si tiene fecha de pago, liquida contra los intereses congelados; si está abierto, liquida contra los intereses de hoy.</t>
        </is>
      </c>
    </row>
    <row r="28" ht="19.95" customHeight="1" s="32">
      <c r="A28" s="29" t="inlineStr">
        <is>
          <t>✔</t>
        </is>
      </c>
      <c r="B28" s="31" t="inlineStr">
        <is>
          <t>5. Registro de Múltiples Abonos (Lado Derecho): Todos los abonos parciales (sean 1, 2, 5 o más) se siguen registrando en la tabla derecha (Columnas Q a W) con su fecha y medio de pago, y se suman solos a la izquierda.</t>
        </is>
      </c>
    </row>
  </sheetData>
  <mergeCells count="31">
    <mergeCell ref="S4:T4"/>
    <mergeCell ref="F4:G4"/>
    <mergeCell ref="A7:O7"/>
    <mergeCell ref="B28:W28"/>
    <mergeCell ref="J5:K5"/>
    <mergeCell ref="H4:I4"/>
    <mergeCell ref="B24:W24"/>
    <mergeCell ref="A1:W1"/>
    <mergeCell ref="Q5:R5"/>
    <mergeCell ref="F5:G5"/>
    <mergeCell ref="Q7:W7"/>
    <mergeCell ref="B26:W26"/>
    <mergeCell ref="B25:W25"/>
    <mergeCell ref="Q4:R4"/>
    <mergeCell ref="J4:K4"/>
    <mergeCell ref="U5:W5"/>
    <mergeCell ref="B27:W27"/>
    <mergeCell ref="U4:W4"/>
    <mergeCell ref="D4:E4"/>
    <mergeCell ref="A2:W2"/>
    <mergeCell ref="L5:O5"/>
    <mergeCell ref="B3:D3"/>
    <mergeCell ref="A23:W23"/>
    <mergeCell ref="B5:C5"/>
    <mergeCell ref="S5:T5"/>
    <mergeCell ref="D5:E5"/>
    <mergeCell ref="A19:E19"/>
    <mergeCell ref="L4:O4"/>
    <mergeCell ref="H5:I5"/>
    <mergeCell ref="B4:C4"/>
    <mergeCell ref="Q20:S20"/>
  </mergeCells>
  <conditionalFormatting sqref="O9:O18">
    <cfRule type="cellIs" priority="1" operator="equal" dxfId="2" stopIfTrue="1">
      <formula>"PAGADO"</formula>
    </cfRule>
    <cfRule type="cellIs" priority="2" operator="equal" dxfId="1" stopIfTrue="1">
      <formula>"PENDIENTE"</formula>
    </cfRule>
    <cfRule type="cellIs" priority="3" operator="equal" dxfId="0" stopIfTrue="1">
      <formula>"VIGENTE"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N9" sqref="N9"/>
    </sheetView>
  </sheetViews>
  <sheetFormatPr baseColWidth="10" defaultColWidth="8.88671875" defaultRowHeight="14.4"/>
  <cols>
    <col width="5" customWidth="1" style="32" min="1" max="1"/>
    <col width="15.77734375" customWidth="1" style="32" min="2" max="2"/>
    <col width="13" customWidth="1" style="32" min="3" max="3"/>
    <col width="15" customWidth="1" style="32" min="4" max="4"/>
    <col width="7" customWidth="1" style="32" min="5" max="5"/>
    <col width="16" customWidth="1" style="32" min="6" max="6"/>
    <col width="10" customWidth="1" style="32" min="7" max="7"/>
    <col width="16" customWidth="1" style="32" min="8" max="10"/>
    <col width="14" customWidth="1" style="32" min="11" max="11"/>
    <col width="16" customWidth="1" style="32" min="12" max="12"/>
    <col width="15" customWidth="1" style="32" min="13" max="13"/>
    <col width="16" customWidth="1" style="32" min="14" max="14"/>
    <col width="12" customWidth="1" style="32" min="15" max="15"/>
    <col width="3" customWidth="1" style="32" min="16" max="16"/>
    <col width="13" customWidth="1" style="32" min="17" max="17"/>
    <col width="10" customWidth="1" style="32" min="18" max="18"/>
    <col width="24" customWidth="1" style="32" min="19" max="19"/>
    <col width="16" customWidth="1" style="32" min="20" max="21"/>
    <col width="15" customWidth="1" style="32" min="22" max="22"/>
    <col width="24.77734375" customWidth="1" style="32" min="23" max="23"/>
  </cols>
  <sheetData>
    <row r="1" ht="42" customHeight="1" s="32">
      <c r="A1" s="48" t="inlineStr">
        <is>
          <t>💰 SISTEMA DE CONTROL DE CRÉDITOS, INTERESES CONGELADOS A FECHA DE PAGO Y ABONOS - NATILLERA</t>
        </is>
      </c>
    </row>
    <row r="2" ht="22.05" customHeight="1" s="32">
      <c r="A2" s="50" t="inlineStr">
        <is>
          <t>Administrador: Santiago | Actualización Automática con =HOY() | Los intereses se congelan a la Fecha de Pago para no seguir acumulando cobros</t>
        </is>
      </c>
    </row>
    <row r="3" ht="24" customHeight="1" s="32">
      <c r="B3" s="109">
        <f>HYPERLINK("#Dashboard!A1", "⬅ VOLVER AL DASHBOARD GLOBAL")</f>
        <v/>
      </c>
      <c r="P3" s="49" t="n"/>
    </row>
    <row r="4" ht="19.05" customHeight="1" s="32">
      <c r="B4" s="51" t="inlineStr">
        <is>
          <t>FECHA DE HOY</t>
        </is>
      </c>
      <c r="C4" s="97" t="n"/>
      <c r="D4" s="51" t="inlineStr">
        <is>
          <t>TOTAL PRESTADO</t>
        </is>
      </c>
      <c r="E4" s="97" t="n"/>
      <c r="F4" s="52" t="inlineStr">
        <is>
          <t>CAPITAL EN LA CALLE</t>
        </is>
      </c>
      <c r="G4" s="97" t="n"/>
      <c r="H4" s="51" t="inlineStr">
        <is>
          <t>INTERESES A FECHA DE PAGO</t>
        </is>
      </c>
      <c r="I4" s="97" t="n"/>
      <c r="J4" s="53" t="inlineStr">
        <is>
          <t>INTERESES POR COBRAR</t>
        </is>
      </c>
      <c r="K4" s="97" t="n"/>
      <c r="L4" s="40" t="inlineStr">
        <is>
          <t>TOTAL POR COBRAR GENERAL</t>
        </is>
      </c>
      <c r="M4" s="98" t="n"/>
      <c r="N4" s="98" t="n"/>
      <c r="O4" s="97" t="n"/>
      <c r="P4" s="49" t="n"/>
      <c r="Q4" s="54" t="inlineStr">
        <is>
          <t>ABONOS A INTERÉS</t>
        </is>
      </c>
      <c r="R4" s="97" t="n"/>
      <c r="S4" s="54" t="inlineStr">
        <is>
          <t>ABONOS A CAPITAL</t>
        </is>
      </c>
      <c r="T4" s="97" t="n"/>
      <c r="U4" s="40" t="inlineStr">
        <is>
          <t>TOTAL RECAUDADO EN ABONOS</t>
        </is>
      </c>
      <c r="V4" s="98" t="n"/>
      <c r="W4" s="97" t="n"/>
    </row>
    <row r="5" ht="28.05" customHeight="1" s="32">
      <c r="B5" s="42">
        <f>TODAY()</f>
        <v/>
      </c>
      <c r="C5" s="97" t="n"/>
      <c r="D5" s="43">
        <f>F19</f>
        <v/>
      </c>
      <c r="E5" s="97" t="n"/>
      <c r="F5" s="44">
        <f>M19</f>
        <v/>
      </c>
      <c r="G5" s="97" t="n"/>
      <c r="H5" s="43">
        <f>I19</f>
        <v/>
      </c>
      <c r="I5" s="97" t="n"/>
      <c r="J5" s="45">
        <f>K19</f>
        <v/>
      </c>
      <c r="K5" s="97" t="n"/>
      <c r="L5" s="46">
        <f>N19</f>
        <v/>
      </c>
      <c r="M5" s="98" t="n"/>
      <c r="N5" s="98" t="n"/>
      <c r="O5" s="97" t="n"/>
      <c r="P5" s="49" t="n"/>
      <c r="Q5" s="47">
        <f>I19</f>
        <v/>
      </c>
      <c r="R5" s="97" t="n"/>
      <c r="S5" s="47">
        <f>L19</f>
        <v/>
      </c>
      <c r="T5" s="97" t="n"/>
      <c r="U5" s="46">
        <f>Q5+S5</f>
        <v/>
      </c>
      <c r="V5" s="98" t="n"/>
      <c r="W5" s="97" t="n"/>
    </row>
    <row r="6">
      <c r="P6" s="49" t="n"/>
    </row>
    <row r="7" ht="25.05" customHeight="1" s="32">
      <c r="A7" s="33" t="inlineStr">
        <is>
          <t>📋 TABLA DE CRÉDITOS Y LIQUIDACIÓN (Con congelamiento de intereses a la fecha de pago)</t>
        </is>
      </c>
      <c r="P7" s="49" t="n"/>
      <c r="Q7" s="34" t="inlineStr">
        <is>
          <t>💳 REGISTRO DE ABONOS RECIBIDOS (Permite múltiples pagos por crédito)</t>
        </is>
      </c>
    </row>
    <row r="8" ht="31.95" customHeight="1" s="32">
      <c r="A8" s="2" t="inlineStr">
        <is>
          <t>N°</t>
        </is>
      </c>
      <c r="B8" s="2" t="inlineStr">
        <is>
          <t>Nombre del Socio / Deudor</t>
        </is>
      </c>
      <c r="C8" s="2" t="inlineStr">
        <is>
          <t>Fecha Crédito</t>
        </is>
      </c>
      <c r="D8" s="3" t="inlineStr">
        <is>
          <t>Fecha Pago / Liquidación</t>
        </is>
      </c>
      <c r="E8" s="2" t="inlineStr">
        <is>
          <t>Días</t>
        </is>
      </c>
      <c r="F8" s="2" t="inlineStr">
        <is>
          <t>Valor Crédito (Capital)</t>
        </is>
      </c>
      <c r="G8" s="2" t="inlineStr">
        <is>
          <t>Tasa Mes</t>
        </is>
      </c>
      <c r="H8" s="2" t="inlineStr">
        <is>
          <t>Intereses a Hoy (En Vivo)</t>
        </is>
      </c>
      <c r="I8" s="3" t="inlineStr">
        <is>
          <t>Intereses a Fecha Pago</t>
        </is>
      </c>
      <c r="J8" s="2" t="inlineStr">
        <is>
          <t>Total Abono Interés</t>
        </is>
      </c>
      <c r="K8" s="2" t="inlineStr">
        <is>
          <t>Saldo Interés</t>
        </is>
      </c>
      <c r="L8" s="2" t="inlineStr">
        <is>
          <t>Total Abono Capital</t>
        </is>
      </c>
      <c r="M8" s="2" t="inlineStr">
        <is>
          <t>Saldo Capital</t>
        </is>
      </c>
      <c r="N8" s="2" t="inlineStr">
        <is>
          <t>Total a Pagar Hoy</t>
        </is>
      </c>
      <c r="O8" s="2" t="inlineStr">
        <is>
          <t>Estado</t>
        </is>
      </c>
      <c r="P8" s="49" t="n"/>
      <c r="Q8" s="4" t="inlineStr">
        <is>
          <t>Fecha Pago</t>
        </is>
      </c>
      <c r="R8" s="4" t="inlineStr">
        <is>
          <t>N° Crédito</t>
        </is>
      </c>
      <c r="S8" s="4" t="inlineStr">
        <is>
          <t>Socio (Automático)</t>
        </is>
      </c>
      <c r="T8" s="4" t="inlineStr">
        <is>
          <t>Abono a Intereses</t>
        </is>
      </c>
      <c r="U8" s="4" t="inlineStr">
        <is>
          <t>Abono a Capital</t>
        </is>
      </c>
      <c r="V8" s="4" t="inlineStr">
        <is>
          <t>Total Abonado</t>
        </is>
      </c>
      <c r="W8" s="4" t="inlineStr">
        <is>
          <t>Medio / Comprobante</t>
        </is>
      </c>
    </row>
    <row r="9" ht="22.05" customHeight="1" s="32">
      <c r="A9" s="5" t="n">
        <v>1</v>
      </c>
      <c r="B9" s="6" t="inlineStr">
        <is>
          <t>Andres Castro</t>
        </is>
      </c>
      <c r="C9" s="7" t="n">
        <v>46239</v>
      </c>
      <c r="D9" s="7" t="n"/>
      <c r="E9" s="8">
        <f>IF(C9="","",IF(D9&lt;&gt;"",D9-C9,TODAY()-C9))</f>
        <v/>
      </c>
      <c r="F9" s="9" t="n">
        <v>2000000</v>
      </c>
      <c r="G9" s="10" t="n">
        <v>0.005</v>
      </c>
      <c r="H9" s="9">
        <f>IF(F9="","",ROUND(F9*(G9/30)*(TODAY()-C9),0))</f>
        <v/>
      </c>
      <c r="I9" s="19">
        <f>IF(F9="","",IF(D9&lt;&gt;"",ROUND(F9*(G9/30)*(D9-C9),0),"-"))</f>
        <v/>
      </c>
      <c r="J9" s="9">
        <f>IF(F9="","",SUMIF(R$9:R$19, A9, T$9:T$19))</f>
        <v/>
      </c>
      <c r="K9" s="9">
        <f>IF(F9="","",MAX(0,IF(D9&lt;&gt;"",I9,H9)-J9))</f>
        <v/>
      </c>
      <c r="L9" s="9">
        <f>IF(F9="","",SUMIF(R$9:R$19, A9, U$9:U$19))</f>
        <v/>
      </c>
      <c r="M9" s="9">
        <f>IF(F9="","",MAX(0,F9-L9))</f>
        <v/>
      </c>
      <c r="N9" s="11">
        <f>IF(F9="","",K9+M9)</f>
        <v/>
      </c>
      <c r="O9" s="12">
        <f>IF(F9="","",IF(N9&lt;=0,"PAGADO",IF(D9&lt;&gt;"","PAGADO",IF(E9&gt;30,"PENDIENTE","VIGENTE"))))</f>
        <v/>
      </c>
      <c r="P9" s="49" t="n"/>
      <c r="Q9" s="7" t="n"/>
      <c r="R9" s="13" t="n"/>
      <c r="S9" s="6">
        <f>IF(R9="","",IFERROR(VLOOKUP(R9, A$9:B$18, 2, FALSE), "No existe"))</f>
        <v/>
      </c>
      <c r="T9" s="9" t="n">
        <v>0</v>
      </c>
      <c r="U9" s="9" t="n"/>
      <c r="V9" s="14">
        <f>IF(R9="","",T9+U9)</f>
        <v/>
      </c>
      <c r="W9" s="6" t="n"/>
    </row>
    <row r="10" ht="22.05" customHeight="1" s="32">
      <c r="A10" s="15" t="n">
        <v>2</v>
      </c>
      <c r="B10" s="16" t="n"/>
      <c r="C10" s="17" t="n"/>
      <c r="D10" s="17" t="n"/>
      <c r="E10" s="18">
        <f>IF(C10="","",IF(D10&lt;&gt;"",D10-C10,TODAY()-C10))</f>
        <v/>
      </c>
      <c r="F10" s="19" t="n"/>
      <c r="G10" s="20" t="n">
        <v>0.005</v>
      </c>
      <c r="H10" s="19">
        <f>IF(F10="","",ROUND(F10*(G10/30)*(TODAY()-C10),0))</f>
        <v/>
      </c>
      <c r="I10" s="19">
        <f>IF(F10="","",IF(D10&lt;&gt;"",ROUND(F10*(G10/30)*(D10-C10),0),"-"))</f>
        <v/>
      </c>
      <c r="J10" s="19">
        <f>IF(F10="","",SUMIF(R$9:R$19, A10, T$9:T$19))</f>
        <v/>
      </c>
      <c r="K10" s="19">
        <f>IF(F10="","",MAX(0,IF(D10&lt;&gt;"",I10,H10)-J10))</f>
        <v/>
      </c>
      <c r="L10" s="19">
        <f>IF(F10="","",SUMIF(R$9:R$19, A10, U$9:U$19))</f>
        <v/>
      </c>
      <c r="M10" s="19">
        <f>IF(F10="","",MAX(0,F10-L10))</f>
        <v/>
      </c>
      <c r="N10" s="21">
        <f>IF(F10="","",K10+M10)</f>
        <v/>
      </c>
      <c r="O10" s="22">
        <f>IF(F10="","",IF(N10&lt;=0,"PAGADO",IF(D10&lt;&gt;"","PAGADO",IF(E10&gt;30,"PENDIENTE","VIGENTE"))))</f>
        <v/>
      </c>
      <c r="P10" s="49" t="n"/>
      <c r="Q10" s="17" t="n"/>
      <c r="R10" s="23" t="n"/>
      <c r="S10" s="16">
        <f>IF(R10="","",IFERROR(VLOOKUP(R10, A$9:B$18, 2, FALSE), "No existe"))</f>
        <v/>
      </c>
      <c r="T10" s="19" t="n"/>
      <c r="U10" s="19" t="n"/>
      <c r="V10" s="24">
        <f>IF(R10="","",T10+U10)</f>
        <v/>
      </c>
      <c r="W10" s="16" t="n"/>
    </row>
    <row r="11" ht="22.05" customHeight="1" s="32">
      <c r="A11" s="5" t="n">
        <v>3</v>
      </c>
      <c r="B11" s="6" t="n"/>
      <c r="C11" s="7" t="n"/>
      <c r="D11" s="7" t="n"/>
      <c r="E11" s="8">
        <f>IF(C11="","",IF(D11&lt;&gt;"",D11-C11,TODAY()-C11))</f>
        <v/>
      </c>
      <c r="F11" s="9" t="n"/>
      <c r="G11" s="10" t="n">
        <v>0.005</v>
      </c>
      <c r="H11" s="9">
        <f>IF(F11="","",ROUND(F11*(G11/30)*(TODAY()-C11),0))</f>
        <v/>
      </c>
      <c r="I11" s="9">
        <f>IF(F11="","",IF(D11&lt;&gt;"",ROUND(F11*(G11/30)*(D11-C11),0),"-"))</f>
        <v/>
      </c>
      <c r="J11" s="9">
        <f>IF(F11="","",SUMIF(R$9:R$19, A11, T$9:T$19))</f>
        <v/>
      </c>
      <c r="K11" s="9">
        <f>IF(F11="","",MAX(0,IF(D11&lt;&gt;"",I11,H11)-J11))</f>
        <v/>
      </c>
      <c r="L11" s="9">
        <f>IF(F11="","",SUMIF(R$9:R$19, A11, U$9:U$19))</f>
        <v/>
      </c>
      <c r="M11" s="9">
        <f>IF(F11="","",MAX(0,F11-L11))</f>
        <v/>
      </c>
      <c r="N11" s="11">
        <f>IF(F11="","",K11+M11)</f>
        <v/>
      </c>
      <c r="O11" s="12">
        <f>IF(F11="","",IF(N11&lt;=0,"PAGADO",IF(D11&lt;&gt;"","PAGADO",IF(E11&gt;30,"PENDIENTE","VIGENTE"))))</f>
        <v/>
      </c>
      <c r="P11" s="49" t="n"/>
      <c r="Q11" s="7" t="n"/>
      <c r="R11" s="13" t="n"/>
      <c r="S11" s="6">
        <f>IF(R11="","",IFERROR(VLOOKUP(R11, A$9:B$18, 2, FALSE), "No existe"))</f>
        <v/>
      </c>
      <c r="T11" s="9" t="n"/>
      <c r="U11" s="9" t="n"/>
      <c r="V11" s="14">
        <f>IF(R11="","",T11+U11)</f>
        <v/>
      </c>
      <c r="W11" s="6" t="n"/>
    </row>
    <row r="12" ht="22.05" customHeight="1" s="32">
      <c r="A12" s="15" t="n">
        <v>4</v>
      </c>
      <c r="B12" s="16" t="n"/>
      <c r="C12" s="17" t="n"/>
      <c r="D12" s="17" t="n"/>
      <c r="E12" s="18">
        <f>IF(C12="","",IF(D12&lt;&gt;"",D12-C12,TODAY()-C12))</f>
        <v/>
      </c>
      <c r="F12" s="19" t="n"/>
      <c r="G12" s="20" t="n">
        <v>0.005</v>
      </c>
      <c r="H12" s="19">
        <f>IF(F12="","",ROUND(F12*(G12/30)*(TODAY()-C12),0))</f>
        <v/>
      </c>
      <c r="I12" s="19">
        <f>IF(F12="","",IF(D12&lt;&gt;"",ROUND(F12*(G12/30)*(D12-C12),0),"-"))</f>
        <v/>
      </c>
      <c r="J12" s="19">
        <f>IF(F12="","",SUMIF(R$9:R$19, A12, T$9:T$19))</f>
        <v/>
      </c>
      <c r="K12" s="19">
        <f>IF(F12="","",MAX(0,IF(D12&lt;&gt;"",I12,H12)-J12))</f>
        <v/>
      </c>
      <c r="L12" s="19">
        <f>IF(F12="","",SUMIF(R$9:R$19, A12, U$9:U$19))</f>
        <v/>
      </c>
      <c r="M12" s="19">
        <f>IF(F12="","",MAX(0,F12-L12))</f>
        <v/>
      </c>
      <c r="N12" s="21">
        <f>IF(F12="","",K12+M12)</f>
        <v/>
      </c>
      <c r="O12" s="22">
        <f>IF(F12="","",IF(N12&lt;=0,"PAGADO",IF(D12&lt;&gt;"","PAGADO",IF(E12&gt;30,"PENDIENTE","VIGENTE"))))</f>
        <v/>
      </c>
      <c r="P12" s="49" t="n"/>
      <c r="Q12" s="17" t="n"/>
      <c r="R12" s="23" t="n"/>
      <c r="S12" s="16">
        <f>IF(R12="","",IFERROR(VLOOKUP(R12, A$9:B$18, 2, FALSE), "No existe"))</f>
        <v/>
      </c>
      <c r="T12" s="19" t="n"/>
      <c r="U12" s="19" t="n"/>
      <c r="V12" s="24">
        <f>IF(R12="","",T12+U12)</f>
        <v/>
      </c>
      <c r="W12" s="16" t="n"/>
    </row>
    <row r="13" ht="22.05" customHeight="1" s="32">
      <c r="A13" s="5" t="n">
        <v>5</v>
      </c>
      <c r="B13" s="6" t="n"/>
      <c r="C13" s="7" t="n"/>
      <c r="D13" s="7" t="n"/>
      <c r="E13" s="8">
        <f>IF(C13="","",IF(D13&lt;&gt;"",D13-C13,TODAY()-C13))</f>
        <v/>
      </c>
      <c r="F13" s="9" t="n"/>
      <c r="G13" s="10" t="n">
        <v>0.005</v>
      </c>
      <c r="H13" s="9">
        <f>IF(F13="","",ROUND(F13*(G13/30)*(TODAY()-C13),0))</f>
        <v/>
      </c>
      <c r="I13" s="9">
        <f>IF(F13="","",IF(D13&lt;&gt;"",ROUND(F13*(G13/30)*(D13-C13),0),"-"))</f>
        <v/>
      </c>
      <c r="J13" s="9">
        <f>IF(F13="","",SUMIF(R$9:R$19, A13, T$9:T$19))</f>
        <v/>
      </c>
      <c r="K13" s="9">
        <f>IF(F13="","",MAX(0,IF(D13&lt;&gt;"",I13,H13)-J13))</f>
        <v/>
      </c>
      <c r="L13" s="9">
        <f>IF(F13="","",SUMIF(R$9:R$19, A13, U$9:U$19))</f>
        <v/>
      </c>
      <c r="M13" s="9">
        <f>IF(F13="","",MAX(0,F13-L13))</f>
        <v/>
      </c>
      <c r="N13" s="11">
        <f>IF(F13="","",K13+M13)</f>
        <v/>
      </c>
      <c r="O13" s="12">
        <f>IF(F13="","",IF(N13&lt;=0,"PAGADO",IF(D13&lt;&gt;"","PAGADO",IF(E13&gt;30,"PENDIENTE","VIGENTE"))))</f>
        <v/>
      </c>
      <c r="P13" s="49" t="n"/>
      <c r="Q13" s="7" t="n"/>
      <c r="R13" s="13" t="n"/>
      <c r="S13" s="6">
        <f>IF(R13="","",IFERROR(VLOOKUP(R13, A$9:B$18, 2, FALSE), "No existe"))</f>
        <v/>
      </c>
      <c r="T13" s="9" t="n"/>
      <c r="U13" s="9" t="n"/>
      <c r="V13" s="14">
        <f>IF(R13="","",T13+U13)</f>
        <v/>
      </c>
      <c r="W13" s="6" t="n"/>
    </row>
    <row r="14" ht="22.05" customHeight="1" s="32">
      <c r="A14" s="15" t="n">
        <v>6</v>
      </c>
      <c r="B14" s="16" t="n"/>
      <c r="C14" s="17" t="n"/>
      <c r="D14" s="17" t="n"/>
      <c r="E14" s="18">
        <f>IF(C14="","",IF(D14&lt;&gt;"",D14-C14,TODAY()-C14))</f>
        <v/>
      </c>
      <c r="F14" s="19" t="n"/>
      <c r="G14" s="20" t="n">
        <v>0.005</v>
      </c>
      <c r="H14" s="19">
        <f>IF(F14="","",ROUND(F14*(G14/30)*(TODAY()-C14),0))</f>
        <v/>
      </c>
      <c r="I14" s="19">
        <f>IF(F14="","",IF(D14&lt;&gt;"",ROUND(F14*(G14/30)*(D14-C14),0),"-"))</f>
        <v/>
      </c>
      <c r="J14" s="19">
        <f>IF(F14="","",SUMIF(R$9:R$19, A14, T$9:T$19))</f>
        <v/>
      </c>
      <c r="K14" s="19">
        <f>IF(F14="","",MAX(0,IF(D14&lt;&gt;"",I14,H14)-J14))</f>
        <v/>
      </c>
      <c r="L14" s="19">
        <f>IF(F14="","",SUMIF(R$9:R$19, A14, U$9:U$19))</f>
        <v/>
      </c>
      <c r="M14" s="19">
        <f>IF(F14="","",MAX(0,F14-L14))</f>
        <v/>
      </c>
      <c r="N14" s="21">
        <f>IF(F14="","",K14+M14)</f>
        <v/>
      </c>
      <c r="O14" s="22">
        <f>IF(F14="","",IF(N14&lt;=0,"PAGADO",IF(D14&lt;&gt;"","PAGADO",IF(E14&gt;30,"PENDIENTE","VIGENTE"))))</f>
        <v/>
      </c>
      <c r="P14" s="49" t="n"/>
      <c r="Q14" s="17" t="n"/>
      <c r="R14" s="23" t="n"/>
      <c r="S14" s="16">
        <f>IF(R14="","",IFERROR(VLOOKUP(R14, A$9:B$18, 2, FALSE), "No existe"))</f>
        <v/>
      </c>
      <c r="T14" s="19" t="n"/>
      <c r="U14" s="19" t="n"/>
      <c r="V14" s="24">
        <f>IF(R14="","",T14+U14)</f>
        <v/>
      </c>
      <c r="W14" s="16" t="n"/>
    </row>
    <row r="15" ht="22.05" customHeight="1" s="32">
      <c r="A15" s="5" t="n">
        <v>7</v>
      </c>
      <c r="B15" s="6" t="n"/>
      <c r="C15" s="7" t="n"/>
      <c r="D15" s="7" t="n"/>
      <c r="E15" s="8">
        <f>IF(C15="","",IF(D15&lt;&gt;"",D15-C15,TODAY()-C15))</f>
        <v/>
      </c>
      <c r="F15" s="9" t="n"/>
      <c r="G15" s="10" t="n">
        <v>0.005</v>
      </c>
      <c r="H15" s="9">
        <f>IF(F15="","",ROUND(F15*(G15/30)*(TODAY()-C15),0))</f>
        <v/>
      </c>
      <c r="I15" s="9">
        <f>IF(F15="","",IF(D15&lt;&gt;"",ROUND(F15*(G15/30)*(D15-C15),0),"-"))</f>
        <v/>
      </c>
      <c r="J15" s="9">
        <f>IF(F15="","",SUMIF(R$9:R$19, A15, T$9:T$19))</f>
        <v/>
      </c>
      <c r="K15" s="9">
        <f>IF(F15="","",MAX(0,IF(D15&lt;&gt;"",I15,H15)-J15))</f>
        <v/>
      </c>
      <c r="L15" s="9">
        <f>IF(F15="","",SUMIF(R$9:R$19, A15, U$9:U$19))</f>
        <v/>
      </c>
      <c r="M15" s="9">
        <f>IF(F15="","",MAX(0,F15-L15))</f>
        <v/>
      </c>
      <c r="N15" s="11">
        <f>IF(F15="","",K15+M15)</f>
        <v/>
      </c>
      <c r="O15" s="12">
        <f>IF(F15="","",IF(N15&lt;=0,"PAGADO",IF(D15&lt;&gt;"","PAGADO",IF(E15&gt;30,"PENDIENTE","VIGENTE"))))</f>
        <v/>
      </c>
      <c r="P15" s="49" t="n"/>
      <c r="Q15" s="7" t="n"/>
      <c r="R15" s="13" t="n"/>
      <c r="S15" s="6">
        <f>IF(R15="","",IFERROR(VLOOKUP(R15, A$9:B$18, 2, FALSE), "No existe"))</f>
        <v/>
      </c>
      <c r="T15" s="9" t="n"/>
      <c r="U15" s="9" t="n"/>
      <c r="V15" s="14">
        <f>IF(R15="","",T15+U15)</f>
        <v/>
      </c>
      <c r="W15" s="6" t="n"/>
    </row>
    <row r="16" ht="22.05" customHeight="1" s="32">
      <c r="A16" s="15" t="n">
        <v>8</v>
      </c>
      <c r="B16" s="16" t="n"/>
      <c r="C16" s="17" t="n"/>
      <c r="D16" s="17" t="n"/>
      <c r="E16" s="18">
        <f>IF(C16="","",IF(D16&lt;&gt;"",D16-C16,TODAY()-C16))</f>
        <v/>
      </c>
      <c r="F16" s="19" t="n"/>
      <c r="G16" s="20" t="n">
        <v>0.005</v>
      </c>
      <c r="H16" s="19">
        <f>IF(F16="","",ROUND(F16*(G16/30)*(TODAY()-C16),0))</f>
        <v/>
      </c>
      <c r="I16" s="19">
        <f>IF(F16="","",IF(D16&lt;&gt;"",ROUND(F16*(G16/30)*(D16-C16),0),"-"))</f>
        <v/>
      </c>
      <c r="J16" s="19">
        <f>IF(F16="","",SUMIF(R$9:R$19, A16, T$9:T$19))</f>
        <v/>
      </c>
      <c r="K16" s="19">
        <f>IF(F16="","",MAX(0,IF(D16&lt;&gt;"",I16,H16)-J16))</f>
        <v/>
      </c>
      <c r="L16" s="19">
        <f>IF(F16="","",SUMIF(R$9:R$19, A16, U$9:U$19))</f>
        <v/>
      </c>
      <c r="M16" s="19">
        <f>IF(F16="","",MAX(0,F16-L16))</f>
        <v/>
      </c>
      <c r="N16" s="21">
        <f>IF(F16="","",K16+M16)</f>
        <v/>
      </c>
      <c r="O16" s="22">
        <f>IF(F16="","",IF(N16&lt;=0,"PAGADO",IF(D16&lt;&gt;"","PAGADO",IF(E16&gt;30,"PENDIENTE","VIGENTE"))))</f>
        <v/>
      </c>
      <c r="P16" s="49" t="n"/>
      <c r="Q16" s="17" t="n"/>
      <c r="R16" s="23" t="n"/>
      <c r="S16" s="16">
        <f>IF(R16="","",IFERROR(VLOOKUP(R16, A$9:B$18, 2, FALSE), "No existe"))</f>
        <v/>
      </c>
      <c r="T16" s="19" t="n"/>
      <c r="U16" s="19" t="n"/>
      <c r="V16" s="24">
        <f>IF(R16="","",T16+U16)</f>
        <v/>
      </c>
      <c r="W16" s="16" t="n"/>
    </row>
    <row r="17" ht="22.05" customHeight="1" s="32">
      <c r="A17" s="5" t="n">
        <v>9</v>
      </c>
      <c r="B17" s="6" t="n"/>
      <c r="C17" s="7" t="n"/>
      <c r="D17" s="7" t="n"/>
      <c r="E17" s="8">
        <f>IF(C17="","",IF(D17&lt;&gt;"",D17-C17,TODAY()-C17))</f>
        <v/>
      </c>
      <c r="F17" s="9" t="n"/>
      <c r="G17" s="10" t="n">
        <v>0.005</v>
      </c>
      <c r="H17" s="9">
        <f>IF(F17="","",ROUND(F17*(G17/30)*(TODAY()-C17),0))</f>
        <v/>
      </c>
      <c r="I17" s="9">
        <f>IF(F17="","",IF(D17&lt;&gt;"",ROUND(F17*(G17/30)*(D17-C17),0),"-"))</f>
        <v/>
      </c>
      <c r="J17" s="9">
        <f>IF(F17="","",SUMIF(R$9:R$19, A17, T$9:T$19))</f>
        <v/>
      </c>
      <c r="K17" s="9">
        <f>IF(F17="","",MAX(0,IF(D17&lt;&gt;"",I17,H17)-J17))</f>
        <v/>
      </c>
      <c r="L17" s="9">
        <f>IF(F17="","",SUMIF(R$9:R$19, A17, U$9:U$19))</f>
        <v/>
      </c>
      <c r="M17" s="9">
        <f>IF(F17="","",MAX(0,F17-L17))</f>
        <v/>
      </c>
      <c r="N17" s="11">
        <f>IF(F17="","",K17+M17)</f>
        <v/>
      </c>
      <c r="O17" s="12">
        <f>IF(F17="","",IF(N17&lt;=0,"PAGADO",IF(D17&lt;&gt;"","PAGADO",IF(E17&gt;30,"PENDIENTE","VIGENTE"))))</f>
        <v/>
      </c>
      <c r="P17" s="49" t="n"/>
      <c r="Q17" s="7" t="n"/>
      <c r="R17" s="13" t="n"/>
      <c r="S17" s="6">
        <f>IF(R17="","",IFERROR(VLOOKUP(R17, A$9:B$18, 2, FALSE), "No existe"))</f>
        <v/>
      </c>
      <c r="T17" s="9" t="n"/>
      <c r="U17" s="9" t="n"/>
      <c r="V17" s="14">
        <f>IF(R17="","",T17+U17)</f>
        <v/>
      </c>
      <c r="W17" s="6" t="n"/>
    </row>
    <row r="18" ht="22.05" customHeight="1" s="32">
      <c r="A18" s="15" t="n">
        <v>10</v>
      </c>
      <c r="B18" s="16" t="n"/>
      <c r="C18" s="17" t="n"/>
      <c r="D18" s="17" t="n"/>
      <c r="E18" s="18">
        <f>IF(C18="","",IF(D18&lt;&gt;"",D18-C18,TODAY()-C18))</f>
        <v/>
      </c>
      <c r="F18" s="19" t="n"/>
      <c r="G18" s="20" t="n">
        <v>0.005</v>
      </c>
      <c r="H18" s="19">
        <f>IF(F18="","",ROUND(F18*(G18/30)*(TODAY()-C18),0))</f>
        <v/>
      </c>
      <c r="I18" s="19">
        <f>IF(F18="","",IF(D18&lt;&gt;"",ROUND(F18*(G18/30)*(D18-C18),0),"-"))</f>
        <v/>
      </c>
      <c r="J18" s="19">
        <f>IF(F18="","",SUMIF(R$9:R$19, A18, T$9:T$19))</f>
        <v/>
      </c>
      <c r="K18" s="19">
        <f>IF(F18="","",MAX(0,IF(D18&lt;&gt;"",I18,H18)-J18))</f>
        <v/>
      </c>
      <c r="L18" s="19">
        <f>IF(F18="","",SUMIF(R$9:R$19, A18, U$9:U$19))</f>
        <v/>
      </c>
      <c r="M18" s="19">
        <f>IF(F18="","",MAX(0,F18-L18))</f>
        <v/>
      </c>
      <c r="N18" s="21">
        <f>IF(F18="","",K18+M18)</f>
        <v/>
      </c>
      <c r="O18" s="22">
        <f>IF(F18="","",IF(N18&lt;=0,"PAGADO",IF(D18&lt;&gt;"","PAGADO",IF(E18&gt;30,"PENDIENTE","VIGENTE"))))</f>
        <v/>
      </c>
      <c r="P18" s="49" t="n"/>
      <c r="Q18" s="17" t="n"/>
      <c r="R18" s="23" t="n"/>
      <c r="S18" s="16">
        <f>IF(R18="","",IFERROR(VLOOKUP(R18, A$9:B$18, 2, FALSE), "No existe"))</f>
        <v/>
      </c>
      <c r="T18" s="19" t="n"/>
      <c r="U18" s="19" t="n"/>
      <c r="V18" s="24">
        <f>IF(R18="","",T18+U18)</f>
        <v/>
      </c>
      <c r="W18" s="16" t="n"/>
    </row>
    <row r="19" ht="22.05" customHeight="1" s="32" thickBot="1">
      <c r="A19" s="35" t="inlineStr">
        <is>
          <t>TOTAL GENERAL CRÉDITOS</t>
        </is>
      </c>
      <c r="B19" s="102" t="n"/>
      <c r="C19" s="102" t="n"/>
      <c r="D19" s="102" t="n"/>
      <c r="E19" s="103" t="n"/>
      <c r="F19" s="25">
        <f>SUM(F9:F18)</f>
        <v/>
      </c>
      <c r="G19" s="26" t="n"/>
      <c r="H19" s="25">
        <f>SUM(H9:H18)</f>
        <v/>
      </c>
      <c r="I19" s="25">
        <f>SUM(I9:I18)</f>
        <v/>
      </c>
      <c r="J19" s="25">
        <f>SUM(J9:J18)</f>
        <v/>
      </c>
      <c r="K19" s="25">
        <f>SUM(K9:K18)</f>
        <v/>
      </c>
      <c r="L19" s="25">
        <f>SUM(L9:L18)</f>
        <v/>
      </c>
      <c r="M19" s="25">
        <f>SUM(M9:M18)</f>
        <v/>
      </c>
      <c r="N19" s="25">
        <f>SUM(N9:N18)</f>
        <v/>
      </c>
      <c r="O19" s="26" t="n"/>
      <c r="P19" s="49" t="n"/>
      <c r="Q19" s="7" t="n"/>
      <c r="R19" s="13" t="n"/>
      <c r="S19" s="6">
        <f>IF(R19="","",IFERROR(VLOOKUP(R19, A$9:B$18, 2, FALSE), "No existe"))</f>
        <v/>
      </c>
      <c r="T19" s="9" t="n"/>
      <c r="U19" s="9" t="n"/>
      <c r="V19" s="14">
        <f>IF(R19="","",T19+U19)</f>
        <v/>
      </c>
      <c r="W19" s="6" t="n"/>
    </row>
    <row r="20" ht="28.05" customHeight="1" s="32" thickBot="1" thickTop="1">
      <c r="P20" s="49" t="n"/>
      <c r="Q20" s="37" t="inlineStr">
        <is>
          <t>TOTAL ABONOS REGISTRADOS</t>
        </is>
      </c>
      <c r="R20" s="104" t="n"/>
      <c r="S20" s="105" t="n"/>
      <c r="T20" s="27">
        <f>SUM(T9:T19)</f>
        <v/>
      </c>
      <c r="U20" s="27">
        <f>SUM(U9:U19)</f>
        <v/>
      </c>
      <c r="V20" s="27">
        <f>SUM(V9:V19)</f>
        <v/>
      </c>
      <c r="W20" s="28" t="n"/>
    </row>
    <row r="21" ht="15" customHeight="1" s="32" thickTop="1">
      <c r="P21" s="49" t="n"/>
    </row>
    <row r="22">
      <c r="P22" s="49" t="n"/>
    </row>
    <row r="23" ht="25.95" customHeight="1" s="32">
      <c r="A23" s="39" t="inlineStr">
        <is>
          <t>💡 GUÍA DE USO PARA SANTIAGO: CÓMO CONGELAR INTERESES A LA FECHA DE PAGO</t>
        </is>
      </c>
    </row>
    <row r="24" ht="19.95" customHeight="1" s="32">
      <c r="A24" s="29" t="inlineStr">
        <is>
          <t>✔</t>
        </is>
      </c>
      <c r="B24" s="31" t="inlineStr">
        <is>
          <t>1. Casilla 'Fecha Pago / Liquidación' (Columna D): Cuando una persona termine de pagar o liquide el crédito, anotas la fecha exacta en la Columna D. Mientras el crédito siga activo, deja esta casilla vacía.</t>
        </is>
      </c>
    </row>
    <row r="25" ht="19.95" customHeight="1" s="32">
      <c r="A25" s="29" t="inlineStr">
        <is>
          <t>✔</t>
        </is>
      </c>
      <c r="B25" s="31" t="inlineStr">
        <is>
          <t>2. Casilla 'Intereses a Fecha Pago' (Columna I): Al colocar la fecha de pago en la columna D, esta casilla calcula los intereses EXACTOS generados desde la fecha inicial hasta ese día específico, y se CONGELA. Ya no sumará más días ni intereses fantasmas.</t>
        </is>
      </c>
    </row>
    <row r="26" ht="19.95" customHeight="1" s="32">
      <c r="A26" s="29" t="inlineStr">
        <is>
          <t>✔</t>
        </is>
      </c>
      <c r="B26" s="31" t="inlineStr">
        <is>
          <t>3. Casilla 'Intereses a Hoy' (Columna H): Para créditos abiertos (sin fecha de pago), esta casilla sigue corriendo en vivo hasta HOY gracias a la fórmula =HOY(), permitiéndote saber cuánto debe al momento de abrir el archivo.</t>
        </is>
      </c>
    </row>
    <row r="27" ht="19.95" customHeight="1" s="32">
      <c r="A27" s="29" t="inlineStr">
        <is>
          <t>✔</t>
        </is>
      </c>
      <c r="B27" s="31" t="inlineStr">
        <is>
          <t>4. Saldo y Liquidación Definitiva (Columna K): La fórmula del Saldo de Interés detecta automáticamente si el crédito ya se canceló: si tiene fecha de pago, liquida contra los intereses congelados; si está abierto, liquida contra los intereses de hoy.</t>
        </is>
      </c>
    </row>
    <row r="28" ht="19.95" customHeight="1" s="32">
      <c r="A28" s="29" t="inlineStr">
        <is>
          <t>✔</t>
        </is>
      </c>
      <c r="B28" s="31" t="inlineStr">
        <is>
          <t>5. Registro de Múltiples Abonos (Lado Derecho): Todos los abonos parciales (sean 1, 2, 5 o más) se siguen registrando en la tabla derecha (Columnas Q a W) con su fecha y medio de pago, y se suman solos a la izquierda.</t>
        </is>
      </c>
    </row>
  </sheetData>
  <mergeCells count="31">
    <mergeCell ref="S4:T4"/>
    <mergeCell ref="F4:G4"/>
    <mergeCell ref="A7:O7"/>
    <mergeCell ref="B28:W28"/>
    <mergeCell ref="J5:K5"/>
    <mergeCell ref="H4:I4"/>
    <mergeCell ref="B24:W24"/>
    <mergeCell ref="A1:W1"/>
    <mergeCell ref="Q5:R5"/>
    <mergeCell ref="F5:G5"/>
    <mergeCell ref="Q7:W7"/>
    <mergeCell ref="B26:W26"/>
    <mergeCell ref="B25:W25"/>
    <mergeCell ref="Q4:R4"/>
    <mergeCell ref="J4:K4"/>
    <mergeCell ref="U5:W5"/>
    <mergeCell ref="B27:W27"/>
    <mergeCell ref="U4:W4"/>
    <mergeCell ref="D4:E4"/>
    <mergeCell ref="A2:W2"/>
    <mergeCell ref="L5:O5"/>
    <mergeCell ref="B3:D3"/>
    <mergeCell ref="A23:W23"/>
    <mergeCell ref="B5:C5"/>
    <mergeCell ref="S5:T5"/>
    <mergeCell ref="D5:E5"/>
    <mergeCell ref="A19:E19"/>
    <mergeCell ref="L4:O4"/>
    <mergeCell ref="H5:I5"/>
    <mergeCell ref="B4:C4"/>
    <mergeCell ref="Q20:S20"/>
  </mergeCells>
  <conditionalFormatting sqref="O9:O18">
    <cfRule type="cellIs" priority="1" operator="equal" dxfId="2" stopIfTrue="1">
      <formula>"PAGADO"</formula>
    </cfRule>
    <cfRule type="cellIs" priority="2" operator="equal" dxfId="1" stopIfTrue="1">
      <formula>"PENDIENTE"</formula>
    </cfRule>
    <cfRule type="cellIs" priority="3" operator="equal" dxfId="0" stopIfTrue="1">
      <formula>"VIGENTE"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U24" sqref="U24"/>
    </sheetView>
  </sheetViews>
  <sheetFormatPr baseColWidth="10" defaultColWidth="8.88671875" defaultRowHeight="14.4"/>
  <cols>
    <col width="5" customWidth="1" style="32" min="1" max="1"/>
    <col width="15.77734375" customWidth="1" style="32" min="2" max="2"/>
    <col width="13" customWidth="1" style="32" min="3" max="3"/>
    <col width="15" customWidth="1" style="32" min="4" max="4"/>
    <col width="7" customWidth="1" style="32" min="5" max="5"/>
    <col width="16" customWidth="1" style="32" min="6" max="6"/>
    <col width="10" customWidth="1" style="32" min="7" max="7"/>
    <col width="16" customWidth="1" style="32" min="8" max="10"/>
    <col width="14" customWidth="1" style="32" min="11" max="11"/>
    <col width="16" customWidth="1" style="32" min="12" max="12"/>
    <col width="15" customWidth="1" style="32" min="13" max="13"/>
    <col width="16" customWidth="1" style="32" min="14" max="14"/>
    <col width="12" customWidth="1" style="32" min="15" max="15"/>
    <col width="3" customWidth="1" style="32" min="16" max="16"/>
    <col width="13" customWidth="1" style="32" min="17" max="17"/>
    <col width="10" customWidth="1" style="32" min="18" max="18"/>
    <col width="24" customWidth="1" style="32" min="19" max="19"/>
    <col width="16" customWidth="1" style="32" min="20" max="21"/>
    <col width="15" customWidth="1" style="32" min="22" max="22"/>
    <col width="24.77734375" customWidth="1" style="32" min="23" max="23"/>
  </cols>
  <sheetData>
    <row r="1" ht="42" customHeight="1" s="32">
      <c r="A1" s="48" t="inlineStr">
        <is>
          <t>💰 SISTEMA DE CONTROL DE CRÉDITOS, INTERESES CONGELADOS A FECHA DE PAGO Y ABONOS - NATILLERA</t>
        </is>
      </c>
    </row>
    <row r="2" ht="22.05" customHeight="1" s="32">
      <c r="A2" s="50" t="inlineStr">
        <is>
          <t>Administrador: Santiago | Actualización Automática con =HOY() | Los intereses se congelan a la Fecha de Pago para no seguir acumulando cobros</t>
        </is>
      </c>
    </row>
    <row r="3" ht="24" customHeight="1" s="32">
      <c r="B3" s="109">
        <f>HYPERLINK("#Dashboard!A1", "⬅ VOLVER AL DASHBOARD GLOBAL")</f>
        <v/>
      </c>
      <c r="P3" s="49" t="n"/>
    </row>
    <row r="4" ht="19.05" customHeight="1" s="32">
      <c r="B4" s="51" t="inlineStr">
        <is>
          <t>FECHA DE HOY</t>
        </is>
      </c>
      <c r="C4" s="97" t="n"/>
      <c r="D4" s="51" t="inlineStr">
        <is>
          <t>TOTAL PRESTADO</t>
        </is>
      </c>
      <c r="E4" s="97" t="n"/>
      <c r="F4" s="52" t="inlineStr">
        <is>
          <t>CAPITAL EN LA CALLE</t>
        </is>
      </c>
      <c r="G4" s="97" t="n"/>
      <c r="H4" s="51" t="inlineStr">
        <is>
          <t>INTERESES A FECHA DE PAGO</t>
        </is>
      </c>
      <c r="I4" s="97" t="n"/>
      <c r="J4" s="53" t="inlineStr">
        <is>
          <t>INTERESES POR COBRAR</t>
        </is>
      </c>
      <c r="K4" s="97" t="n"/>
      <c r="L4" s="40" t="inlineStr">
        <is>
          <t>TOTAL POR COBRAR GENERAL</t>
        </is>
      </c>
      <c r="M4" s="98" t="n"/>
      <c r="N4" s="98" t="n"/>
      <c r="O4" s="97" t="n"/>
      <c r="P4" s="49" t="n"/>
      <c r="Q4" s="54" t="inlineStr">
        <is>
          <t>ABONOS A INTERÉS</t>
        </is>
      </c>
      <c r="R4" s="97" t="n"/>
      <c r="S4" s="54" t="inlineStr">
        <is>
          <t>ABONOS A CAPITAL</t>
        </is>
      </c>
      <c r="T4" s="97" t="n"/>
      <c r="U4" s="40" t="inlineStr">
        <is>
          <t>TOTAL RECAUDADO EN ABONOS</t>
        </is>
      </c>
      <c r="V4" s="98" t="n"/>
      <c r="W4" s="97" t="n"/>
    </row>
    <row r="5" ht="28.05" customHeight="1" s="32">
      <c r="B5" s="42">
        <f>TODAY()</f>
        <v/>
      </c>
      <c r="C5" s="97" t="n"/>
      <c r="D5" s="43">
        <f>F29</f>
        <v/>
      </c>
      <c r="E5" s="97" t="n"/>
      <c r="F5" s="44">
        <f>M29</f>
        <v/>
      </c>
      <c r="G5" s="97" t="n"/>
      <c r="H5" s="43">
        <f>I29</f>
        <v/>
      </c>
      <c r="I5" s="97" t="n"/>
      <c r="J5" s="45">
        <f>K29</f>
        <v/>
      </c>
      <c r="K5" s="97" t="n"/>
      <c r="L5" s="46">
        <f>N29</f>
        <v/>
      </c>
      <c r="M5" s="98" t="n"/>
      <c r="N5" s="98" t="n"/>
      <c r="O5" s="97" t="n"/>
      <c r="P5" s="49" t="n"/>
      <c r="Q5" s="47">
        <f>J29</f>
        <v/>
      </c>
      <c r="R5" s="97" t="n"/>
      <c r="S5" s="47">
        <f>L29</f>
        <v/>
      </c>
      <c r="T5" s="97" t="n"/>
      <c r="U5" s="46">
        <f>Q5+S5</f>
        <v/>
      </c>
      <c r="V5" s="98" t="n"/>
      <c r="W5" s="97" t="n"/>
    </row>
    <row r="6">
      <c r="P6" s="49" t="n"/>
    </row>
    <row r="7" ht="25.05" customHeight="1" s="32">
      <c r="A7" s="33" t="inlineStr">
        <is>
          <t>📋 TABLA DE CRÉDITOS Y LIQUIDACIÓN (Con congelamiento de intereses a la fecha de pago)</t>
        </is>
      </c>
      <c r="P7" s="49" t="n"/>
      <c r="Q7" s="34" t="inlineStr">
        <is>
          <t>💳 REGISTRO DE ABONOS RECIBIDOS (Permite múltiples pagos por crédito)</t>
        </is>
      </c>
    </row>
    <row r="8" ht="31.95" customHeight="1" s="32">
      <c r="A8" s="2" t="inlineStr">
        <is>
          <t>N°</t>
        </is>
      </c>
      <c r="B8" s="2" t="inlineStr">
        <is>
          <t>Nombre del Socio / Deudor</t>
        </is>
      </c>
      <c r="C8" s="2" t="inlineStr">
        <is>
          <t>Fecha Crédito</t>
        </is>
      </c>
      <c r="D8" s="3" t="inlineStr">
        <is>
          <t>Fecha Pago / Liquidación</t>
        </is>
      </c>
      <c r="E8" s="2" t="inlineStr">
        <is>
          <t>Días</t>
        </is>
      </c>
      <c r="F8" s="2" t="inlineStr">
        <is>
          <t>Valor Crédito (Capital)</t>
        </is>
      </c>
      <c r="G8" s="2" t="inlineStr">
        <is>
          <t>Tasa Mes</t>
        </is>
      </c>
      <c r="H8" s="2" t="inlineStr">
        <is>
          <t>Intereses a Hoy (En Vivo)</t>
        </is>
      </c>
      <c r="I8" s="3" t="inlineStr">
        <is>
          <t>Intereses a Fecha Pago</t>
        </is>
      </c>
      <c r="J8" s="2" t="inlineStr">
        <is>
          <t>Total Abono Interés</t>
        </is>
      </c>
      <c r="K8" s="2" t="inlineStr">
        <is>
          <t>Saldo Interés</t>
        </is>
      </c>
      <c r="L8" s="2" t="inlineStr">
        <is>
          <t>Total Abono Capital</t>
        </is>
      </c>
      <c r="M8" s="2" t="inlineStr">
        <is>
          <t>Saldo Capital</t>
        </is>
      </c>
      <c r="N8" s="2" t="inlineStr">
        <is>
          <t>Total a Pagar Hoy</t>
        </is>
      </c>
      <c r="O8" s="2" t="inlineStr">
        <is>
          <t>Estado</t>
        </is>
      </c>
      <c r="P8" s="49" t="n"/>
      <c r="Q8" s="4" t="inlineStr">
        <is>
          <t>Fecha Pago</t>
        </is>
      </c>
      <c r="R8" s="4" t="inlineStr">
        <is>
          <t>N° Crédito</t>
        </is>
      </c>
      <c r="S8" s="4" t="inlineStr">
        <is>
          <t>Socio (Automático)</t>
        </is>
      </c>
      <c r="T8" s="4" t="inlineStr">
        <is>
          <t>Abono a Intereses</t>
        </is>
      </c>
      <c r="U8" s="4" t="inlineStr">
        <is>
          <t>Abono a Capital</t>
        </is>
      </c>
      <c r="V8" s="4" t="inlineStr">
        <is>
          <t>Total Abonado</t>
        </is>
      </c>
      <c r="W8" s="4" t="inlineStr">
        <is>
          <t>Medio / Comprobante</t>
        </is>
      </c>
    </row>
    <row r="9" ht="22.05" customHeight="1" s="32">
      <c r="A9" s="5" t="n">
        <v>1</v>
      </c>
      <c r="B9" s="6" t="n"/>
      <c r="C9" s="7" t="n"/>
      <c r="D9" s="7" t="n"/>
      <c r="E9" s="8">
        <f>IF(C9="","",IF(D9&lt;&gt;"",D9-C9,TODAY()-C9))</f>
        <v/>
      </c>
      <c r="F9" s="9" t="n"/>
      <c r="G9" s="10" t="n">
        <v>0.005</v>
      </c>
      <c r="H9" s="9">
        <f>IF(F9="","",ROUND(F9*(G9/30)*(TODAY()-C9),0))</f>
        <v/>
      </c>
      <c r="I9" s="9">
        <f>IF(F9="","",IF(D9&lt;&gt;"",ROUND(F9*(G9/30)*(D9-C9),0),"-"))</f>
        <v/>
      </c>
      <c r="J9" s="9">
        <f>IF(F9="","",SUMIF(R$9:R$40, A9, T$9:T$40))</f>
        <v/>
      </c>
      <c r="K9" s="9">
        <f>IF(F9="","",MAX(0,IF(D9&lt;&gt;"",I9,H9)-J9))</f>
        <v/>
      </c>
      <c r="L9" s="9">
        <f>IF(F9="","",SUMIF(R$9:R$40, A9, U$9:U$40))</f>
        <v/>
      </c>
      <c r="M9" s="9">
        <f>IF(F9="","",MAX(0,F9-L9))</f>
        <v/>
      </c>
      <c r="N9" s="11">
        <f>IF(F9="","",K9+M9)</f>
        <v/>
      </c>
      <c r="O9" s="12">
        <f>IF(F9="","",IF(N9&lt;=0,"PAGADO",IF(D9&lt;&gt;"","PAGADO",IF(E9&gt;30,"PENDIENTE","VIGENTE"))))</f>
        <v/>
      </c>
      <c r="P9" s="49" t="n"/>
      <c r="Q9" s="7" t="n"/>
      <c r="R9" s="13" t="n"/>
      <c r="S9" s="6">
        <f>IF(R9="","",IFERROR(VLOOKUP(R9, A$9:B$28, 2, FALSE), "No existe"))</f>
        <v/>
      </c>
      <c r="T9" s="9" t="n"/>
      <c r="U9" s="9" t="n"/>
      <c r="V9" s="14">
        <f>IF(R9="","",T9+U9)</f>
        <v/>
      </c>
      <c r="W9" s="6" t="n"/>
    </row>
    <row r="10" ht="22.05" customHeight="1" s="32">
      <c r="A10" s="15" t="n">
        <v>2</v>
      </c>
      <c r="B10" s="16" t="n"/>
      <c r="C10" s="17" t="n"/>
      <c r="D10" s="17" t="n"/>
      <c r="E10" s="18">
        <f>IF(C10="","",IF(D10&lt;&gt;"",D10-C10,TODAY()-C10))</f>
        <v/>
      </c>
      <c r="F10" s="19" t="n"/>
      <c r="G10" s="20" t="n">
        <v>0.005</v>
      </c>
      <c r="H10" s="19">
        <f>IF(F10="","",ROUND(F10*(G10/30)*(TODAY()-C10),0))</f>
        <v/>
      </c>
      <c r="I10" s="19">
        <f>IF(F10="","",IF(D10&lt;&gt;"",ROUND(F10*(G10/30)*(D10-C10),0),"-"))</f>
        <v/>
      </c>
      <c r="J10" s="19">
        <f>IF(F10="","",SUMIF(R$9:R$40, A10, T$9:T$40))</f>
        <v/>
      </c>
      <c r="K10" s="19">
        <f>IF(F10="","",MAX(0,IF(D10&lt;&gt;"",I10,H10)-J10))</f>
        <v/>
      </c>
      <c r="L10" s="19">
        <f>IF(F10="","",SUMIF(R$9:R$40, A10, U$9:U$40))</f>
        <v/>
      </c>
      <c r="M10" s="19">
        <f>IF(F10="","",MAX(0,F10-L10))</f>
        <v/>
      </c>
      <c r="N10" s="21">
        <f>IF(F10="","",K10+M10)</f>
        <v/>
      </c>
      <c r="O10" s="22">
        <f>IF(F10="","",IF(N10&lt;=0,"PAGADO",IF(D10&lt;&gt;"","PAGADO",IF(E10&gt;30,"PENDIENTE","VIGENTE"))))</f>
        <v/>
      </c>
      <c r="P10" s="49" t="n"/>
      <c r="Q10" s="17" t="n"/>
      <c r="R10" s="23" t="n"/>
      <c r="S10" s="16">
        <f>IF(R10="","",IFERROR(VLOOKUP(R10, A$9:B$28, 2, FALSE), "No existe"))</f>
        <v/>
      </c>
      <c r="T10" s="19" t="n"/>
      <c r="U10" s="19" t="n"/>
      <c r="V10" s="24">
        <f>IF(R10="","",T10+U10)</f>
        <v/>
      </c>
      <c r="W10" s="16" t="n"/>
    </row>
    <row r="11" ht="22.05" customHeight="1" s="32">
      <c r="A11" s="5" t="n">
        <v>3</v>
      </c>
      <c r="B11" s="6" t="n"/>
      <c r="C11" s="7" t="n"/>
      <c r="D11" s="7" t="n"/>
      <c r="E11" s="8">
        <f>IF(C11="","",IF(D11&lt;&gt;"",D11-C11,TODAY()-C11))</f>
        <v/>
      </c>
      <c r="F11" s="9" t="n"/>
      <c r="G11" s="10" t="n">
        <v>0.005</v>
      </c>
      <c r="H11" s="9">
        <f>IF(F11="","",ROUND(F11*(G11/30)*(TODAY()-C11),0))</f>
        <v/>
      </c>
      <c r="I11" s="9">
        <f>IF(F11="","",IF(D11&lt;&gt;"",ROUND(F11*(G11/30)*(D11-C11),0),"-"))</f>
        <v/>
      </c>
      <c r="J11" s="9">
        <f>IF(F11="","",SUMIF(R$9:R$40, A11, T$9:T$40))</f>
        <v/>
      </c>
      <c r="K11" s="9">
        <f>IF(F11="","",MAX(0,IF(D11&lt;&gt;"",I11,H11)-J11))</f>
        <v/>
      </c>
      <c r="L11" s="9">
        <f>IF(F11="","",SUMIF(R$9:R$40, A11, U$9:U$40))</f>
        <v/>
      </c>
      <c r="M11" s="9">
        <f>IF(F11="","",MAX(0,F11-L11))</f>
        <v/>
      </c>
      <c r="N11" s="11">
        <f>IF(F11="","",K11+M11)</f>
        <v/>
      </c>
      <c r="O11" s="12">
        <f>IF(F11="","",IF(N11&lt;=0,"PAGADO",IF(D11&lt;&gt;"","PAGADO",IF(E11&gt;30,"PENDIENTE","VIGENTE"))))</f>
        <v/>
      </c>
      <c r="P11" s="49" t="n"/>
      <c r="Q11" s="7" t="n"/>
      <c r="R11" s="13" t="n"/>
      <c r="S11" s="6">
        <f>IF(R11="","",IFERROR(VLOOKUP(R11, A$9:B$28, 2, FALSE), "No existe"))</f>
        <v/>
      </c>
      <c r="T11" s="9" t="n"/>
      <c r="U11" s="9" t="n"/>
      <c r="V11" s="14">
        <f>IF(R11="","",T11+U11)</f>
        <v/>
      </c>
      <c r="W11" s="6" t="n"/>
    </row>
    <row r="12" ht="22.05" customHeight="1" s="32">
      <c r="A12" s="15" t="n">
        <v>4</v>
      </c>
      <c r="B12" s="16" t="n"/>
      <c r="C12" s="17" t="n"/>
      <c r="D12" s="17" t="n"/>
      <c r="E12" s="18">
        <f>IF(C12="","",IF(D12&lt;&gt;"",D12-C12,TODAY()-C12))</f>
        <v/>
      </c>
      <c r="F12" s="19" t="n"/>
      <c r="G12" s="20" t="n">
        <v>0.005</v>
      </c>
      <c r="H12" s="19">
        <f>IF(F12="","",ROUND(F12*(G12/30)*(TODAY()-C12),0))</f>
        <v/>
      </c>
      <c r="I12" s="19">
        <f>IF(F12="","",IF(D12&lt;&gt;"",ROUND(F12*(G12/30)*(D12-C12),0),"-"))</f>
        <v/>
      </c>
      <c r="J12" s="19">
        <f>IF(F12="","",SUMIF(R$9:R$40, A12, T$9:T$40))</f>
        <v/>
      </c>
      <c r="K12" s="19">
        <f>IF(F12="","",MAX(0,IF(D12&lt;&gt;"",I12,H12)-J12))</f>
        <v/>
      </c>
      <c r="L12" s="19">
        <f>IF(F12="","",SUMIF(R$9:R$40, A12, U$9:U$40))</f>
        <v/>
      </c>
      <c r="M12" s="19">
        <f>IF(F12="","",MAX(0,F12-L12))</f>
        <v/>
      </c>
      <c r="N12" s="21">
        <f>IF(F12="","",K12+M12)</f>
        <v/>
      </c>
      <c r="O12" s="22">
        <f>IF(F12="","",IF(N12&lt;=0,"PAGADO",IF(D12&lt;&gt;"","PAGADO",IF(E12&gt;30,"PENDIENTE","VIGENTE"))))</f>
        <v/>
      </c>
      <c r="P12" s="49" t="n"/>
      <c r="Q12" s="17" t="n"/>
      <c r="R12" s="23" t="n"/>
      <c r="S12" s="16">
        <f>IF(R12="","",IFERROR(VLOOKUP(R12, A$9:B$28, 2, FALSE), "No existe"))</f>
        <v/>
      </c>
      <c r="T12" s="19" t="n"/>
      <c r="U12" s="19" t="n"/>
      <c r="V12" s="24">
        <f>IF(R12="","",T12+U12)</f>
        <v/>
      </c>
      <c r="W12" s="16" t="n"/>
    </row>
    <row r="13" ht="22.05" customHeight="1" s="32">
      <c r="A13" s="5" t="n">
        <v>5</v>
      </c>
      <c r="B13" s="6" t="n"/>
      <c r="C13" s="7" t="n"/>
      <c r="D13" s="7" t="n"/>
      <c r="E13" s="8">
        <f>IF(C13="","",IF(D13&lt;&gt;"",D13-C13,TODAY()-C13))</f>
        <v/>
      </c>
      <c r="F13" s="9" t="n"/>
      <c r="G13" s="10" t="n">
        <v>0.005</v>
      </c>
      <c r="H13" s="9">
        <f>IF(F13="","",ROUND(F13*(G13/30)*(TODAY()-C13),0))</f>
        <v/>
      </c>
      <c r="I13" s="9">
        <f>IF(F13="","",IF(D13&lt;&gt;"",ROUND(F13*(G13/30)*(D13-C13),0),"-"))</f>
        <v/>
      </c>
      <c r="J13" s="9">
        <f>IF(F13="","",SUMIF(R$9:R$40, A13, T$9:T$40))</f>
        <v/>
      </c>
      <c r="K13" s="9">
        <f>IF(F13="","",MAX(0,IF(D13&lt;&gt;"",I13,H13)-J13))</f>
        <v/>
      </c>
      <c r="L13" s="9">
        <f>IF(F13="","",SUMIF(R$9:R$40, A13, U$9:U$40))</f>
        <v/>
      </c>
      <c r="M13" s="9">
        <f>IF(F13="","",MAX(0,F13-L13))</f>
        <v/>
      </c>
      <c r="N13" s="11">
        <f>IF(F13="","",K13+M13)</f>
        <v/>
      </c>
      <c r="O13" s="12">
        <f>IF(F13="","",IF(N13&lt;=0,"PAGADO",IF(D13&lt;&gt;"","PAGADO",IF(E13&gt;30,"PENDIENTE","VIGENTE"))))</f>
        <v/>
      </c>
      <c r="P13" s="49" t="n"/>
      <c r="Q13" s="7" t="n"/>
      <c r="R13" s="13" t="n"/>
      <c r="S13" s="6">
        <f>IF(R13="","",IFERROR(VLOOKUP(R13, A$9:B$28, 2, FALSE), "No existe"))</f>
        <v/>
      </c>
      <c r="T13" s="9" t="n"/>
      <c r="U13" s="9" t="n"/>
      <c r="V13" s="14">
        <f>IF(R13="","",T13+U13)</f>
        <v/>
      </c>
      <c r="W13" s="6" t="n"/>
    </row>
    <row r="14" ht="22.05" customHeight="1" s="32">
      <c r="A14" s="15" t="n">
        <v>6</v>
      </c>
      <c r="B14" s="16" t="n"/>
      <c r="C14" s="17" t="n"/>
      <c r="D14" s="17" t="n"/>
      <c r="E14" s="18">
        <f>IF(C14="","",IF(D14&lt;&gt;"",D14-C14,TODAY()-C14))</f>
        <v/>
      </c>
      <c r="F14" s="19" t="n"/>
      <c r="G14" s="20" t="n">
        <v>0.005</v>
      </c>
      <c r="H14" s="19">
        <f>IF(F14="","",ROUND(F14*(G14/30)*(TODAY()-C14),0))</f>
        <v/>
      </c>
      <c r="I14" s="19">
        <f>IF(F14="","",IF(D14&lt;&gt;"",ROUND(F14*(G14/30)*(D14-C14),0),"-"))</f>
        <v/>
      </c>
      <c r="J14" s="19">
        <f>IF(F14="","",SUMIF(R$9:R$40, A14, T$9:T$40))</f>
        <v/>
      </c>
      <c r="K14" s="19">
        <f>IF(F14="","",MAX(0,IF(D14&lt;&gt;"",I14,H14)-J14))</f>
        <v/>
      </c>
      <c r="L14" s="19">
        <f>IF(F14="","",SUMIF(R$9:R$40, A14, U$9:U$40))</f>
        <v/>
      </c>
      <c r="M14" s="19">
        <f>IF(F14="","",MAX(0,F14-L14))</f>
        <v/>
      </c>
      <c r="N14" s="21">
        <f>IF(F14="","",K14+M14)</f>
        <v/>
      </c>
      <c r="O14" s="22">
        <f>IF(F14="","",IF(N14&lt;=0,"PAGADO",IF(D14&lt;&gt;"","PAGADO",IF(E14&gt;30,"PENDIENTE","VIGENTE"))))</f>
        <v/>
      </c>
      <c r="P14" s="49" t="n"/>
      <c r="Q14" s="17" t="n"/>
      <c r="R14" s="23" t="n"/>
      <c r="S14" s="16">
        <f>IF(R14="","",IFERROR(VLOOKUP(R14, A$9:B$28, 2, FALSE), "No existe"))</f>
        <v/>
      </c>
      <c r="T14" s="19" t="n"/>
      <c r="U14" s="19" t="n"/>
      <c r="V14" s="24">
        <f>IF(R14="","",T14+U14)</f>
        <v/>
      </c>
      <c r="W14" s="16" t="n"/>
    </row>
    <row r="15" ht="22.05" customHeight="1" s="32">
      <c r="A15" s="5" t="n">
        <v>7</v>
      </c>
      <c r="B15" s="6" t="n"/>
      <c r="C15" s="7" t="n"/>
      <c r="D15" s="7" t="n"/>
      <c r="E15" s="8">
        <f>IF(C15="","",IF(D15&lt;&gt;"",D15-C15,TODAY()-C15))</f>
        <v/>
      </c>
      <c r="F15" s="9" t="n"/>
      <c r="G15" s="10" t="n">
        <v>0.005</v>
      </c>
      <c r="H15" s="9">
        <f>IF(F15="","",ROUND(F15*(G15/30)*(TODAY()-C15),0))</f>
        <v/>
      </c>
      <c r="I15" s="9">
        <f>IF(F15="","",IF(D15&lt;&gt;"",ROUND(F15*(G15/30)*(D15-C15),0),"-"))</f>
        <v/>
      </c>
      <c r="J15" s="9">
        <f>IF(F15="","",SUMIF(R$9:R$40, A15, T$9:T$40))</f>
        <v/>
      </c>
      <c r="K15" s="9">
        <f>IF(F15="","",MAX(0,IF(D15&lt;&gt;"",I15,H15)-J15))</f>
        <v/>
      </c>
      <c r="L15" s="9">
        <f>IF(F15="","",SUMIF(R$9:R$40, A15, U$9:U$40))</f>
        <v/>
      </c>
      <c r="M15" s="9">
        <f>IF(F15="","",MAX(0,F15-L15))</f>
        <v/>
      </c>
      <c r="N15" s="11">
        <f>IF(F15="","",K15+M15)</f>
        <v/>
      </c>
      <c r="O15" s="12">
        <f>IF(F15="","",IF(N15&lt;=0,"PAGADO",IF(D15&lt;&gt;"","PAGADO",IF(E15&gt;30,"PENDIENTE","VIGENTE"))))</f>
        <v/>
      </c>
      <c r="P15" s="49" t="n"/>
      <c r="Q15" s="7" t="n"/>
      <c r="R15" s="13" t="n"/>
      <c r="S15" s="6">
        <f>IF(R15="","",IFERROR(VLOOKUP(R15, A$9:B$28, 2, FALSE), "No existe"))</f>
        <v/>
      </c>
      <c r="T15" s="9" t="n"/>
      <c r="U15" s="9" t="n"/>
      <c r="V15" s="14">
        <f>IF(R15="","",T15+U15)</f>
        <v/>
      </c>
      <c r="W15" s="6" t="n"/>
    </row>
    <row r="16" ht="22.05" customHeight="1" s="32">
      <c r="A16" s="15" t="n">
        <v>8</v>
      </c>
      <c r="B16" s="16" t="n"/>
      <c r="C16" s="17" t="n"/>
      <c r="D16" s="17" t="n"/>
      <c r="E16" s="18">
        <f>IF(C16="","",IF(D16&lt;&gt;"",D16-C16,TODAY()-C16))</f>
        <v/>
      </c>
      <c r="F16" s="19" t="n"/>
      <c r="G16" s="20" t="n">
        <v>0.005</v>
      </c>
      <c r="H16" s="19">
        <f>IF(F16="","",ROUND(F16*(G16/30)*(TODAY()-C16),0))</f>
        <v/>
      </c>
      <c r="I16" s="19">
        <f>IF(F16="","",IF(D16&lt;&gt;"",ROUND(F16*(G16/30)*(D16-C16),0),"-"))</f>
        <v/>
      </c>
      <c r="J16" s="19">
        <f>IF(F16="","",SUMIF(R$9:R$40, A16, T$9:T$40))</f>
        <v/>
      </c>
      <c r="K16" s="19">
        <f>IF(F16="","",MAX(0,IF(D16&lt;&gt;"",I16,H16)-J16))</f>
        <v/>
      </c>
      <c r="L16" s="19">
        <f>IF(F16="","",SUMIF(R$9:R$40, A16, U$9:U$40))</f>
        <v/>
      </c>
      <c r="M16" s="19">
        <f>IF(F16="","",MAX(0,F16-L16))</f>
        <v/>
      </c>
      <c r="N16" s="21">
        <f>IF(F16="","",K16+M16)</f>
        <v/>
      </c>
      <c r="O16" s="22">
        <f>IF(F16="","",IF(N16&lt;=0,"PAGADO",IF(D16&lt;&gt;"","PAGADO",IF(E16&gt;30,"PENDIENTE","VIGENTE"))))</f>
        <v/>
      </c>
      <c r="P16" s="49" t="n"/>
      <c r="Q16" s="17" t="n"/>
      <c r="R16" s="23" t="n"/>
      <c r="S16" s="16">
        <f>IF(R16="","",IFERROR(VLOOKUP(R16, A$9:B$28, 2, FALSE), "No existe"))</f>
        <v/>
      </c>
      <c r="T16" s="19" t="n"/>
      <c r="U16" s="19" t="n"/>
      <c r="V16" s="24">
        <f>IF(R16="","",T16+U16)</f>
        <v/>
      </c>
      <c r="W16" s="16" t="n"/>
    </row>
    <row r="17" ht="22.05" customHeight="1" s="32">
      <c r="A17" s="5" t="n">
        <v>9</v>
      </c>
      <c r="B17" s="6" t="n"/>
      <c r="C17" s="7" t="n"/>
      <c r="D17" s="7" t="n"/>
      <c r="E17" s="8">
        <f>IF(C17="","",IF(D17&lt;&gt;"",D17-C17,TODAY()-C17))</f>
        <v/>
      </c>
      <c r="F17" s="9" t="n"/>
      <c r="G17" s="10" t="n">
        <v>0.005</v>
      </c>
      <c r="H17" s="9">
        <f>IF(F17="","",ROUND(F17*(G17/30)*(TODAY()-C17),0))</f>
        <v/>
      </c>
      <c r="I17" s="9">
        <f>IF(F17="","",IF(D17&lt;&gt;"",ROUND(F17*(G17/30)*(D17-C17),0),"-"))</f>
        <v/>
      </c>
      <c r="J17" s="9">
        <f>IF(F17="","",SUMIF(R$9:R$40, A17, T$9:T$40))</f>
        <v/>
      </c>
      <c r="K17" s="9">
        <f>IF(F17="","",MAX(0,IF(D17&lt;&gt;"",I17,H17)-J17))</f>
        <v/>
      </c>
      <c r="L17" s="9">
        <f>IF(F17="","",SUMIF(R$9:R$40, A17, U$9:U$40))</f>
        <v/>
      </c>
      <c r="M17" s="9">
        <f>IF(F17="","",MAX(0,F17-L17))</f>
        <v/>
      </c>
      <c r="N17" s="11">
        <f>IF(F17="","",K17+M17)</f>
        <v/>
      </c>
      <c r="O17" s="12">
        <f>IF(F17="","",IF(N17&lt;=0,"PAGADO",IF(D17&lt;&gt;"","PAGADO",IF(E17&gt;30,"PENDIENTE","VIGENTE"))))</f>
        <v/>
      </c>
      <c r="P17" s="49" t="n"/>
      <c r="Q17" s="7" t="n"/>
      <c r="R17" s="13" t="n"/>
      <c r="S17" s="6">
        <f>IF(R17="","",IFERROR(VLOOKUP(R17, A$9:B$28, 2, FALSE), "No existe"))</f>
        <v/>
      </c>
      <c r="T17" s="9" t="n"/>
      <c r="U17" s="9" t="n"/>
      <c r="V17" s="14">
        <f>IF(R17="","",T17+U17)</f>
        <v/>
      </c>
      <c r="W17" s="6" t="n"/>
    </row>
    <row r="18" ht="22.05" customHeight="1" s="32">
      <c r="A18" s="15" t="n">
        <v>10</v>
      </c>
      <c r="B18" s="16" t="n"/>
      <c r="C18" s="17" t="n"/>
      <c r="D18" s="17" t="n"/>
      <c r="E18" s="18">
        <f>IF(C18="","",IF(D18&lt;&gt;"",D18-C18,TODAY()-C18))</f>
        <v/>
      </c>
      <c r="F18" s="19" t="n"/>
      <c r="G18" s="20" t="n">
        <v>0.005</v>
      </c>
      <c r="H18" s="19">
        <f>IF(F18="","",ROUND(F18*(G18/30)*(TODAY()-C18),0))</f>
        <v/>
      </c>
      <c r="I18" s="19">
        <f>IF(F18="","",IF(D18&lt;&gt;"",ROUND(F18*(G18/30)*(D18-C18),0),"-"))</f>
        <v/>
      </c>
      <c r="J18" s="19">
        <f>IF(F18="","",SUMIF(R$9:R$40, A18, T$9:T$40))</f>
        <v/>
      </c>
      <c r="K18" s="19">
        <f>IF(F18="","",MAX(0,IF(D18&lt;&gt;"",I18,H18)-J18))</f>
        <v/>
      </c>
      <c r="L18" s="19">
        <f>IF(F18="","",SUMIF(R$9:R$40, A18, U$9:U$40))</f>
        <v/>
      </c>
      <c r="M18" s="19">
        <f>IF(F18="","",MAX(0,F18-L18))</f>
        <v/>
      </c>
      <c r="N18" s="21">
        <f>IF(F18="","",K18+M18)</f>
        <v/>
      </c>
      <c r="O18" s="22">
        <f>IF(F18="","",IF(N18&lt;=0,"PAGADO",IF(D18&lt;&gt;"","PAGADO",IF(E18&gt;30,"PENDIENTE","VIGENTE"))))</f>
        <v/>
      </c>
      <c r="P18" s="49" t="n"/>
      <c r="Q18" s="17" t="n"/>
      <c r="R18" s="23" t="n"/>
      <c r="S18" s="16">
        <f>IF(R18="","",IFERROR(VLOOKUP(R18, A$9:B$28, 2, FALSE), "No existe"))</f>
        <v/>
      </c>
      <c r="T18" s="19" t="n"/>
      <c r="U18" s="19" t="n"/>
      <c r="V18" s="24">
        <f>IF(R18="","",T18+U18)</f>
        <v/>
      </c>
      <c r="W18" s="16" t="n"/>
    </row>
    <row r="19" ht="22.05" customHeight="1" s="32">
      <c r="A19" s="5" t="n">
        <v>11</v>
      </c>
      <c r="B19" s="6" t="n"/>
      <c r="C19" s="7" t="n"/>
      <c r="D19" s="7" t="n"/>
      <c r="E19" s="8">
        <f>IF(C19="","",IF(D19&lt;&gt;"",D19-C19,TODAY()-C19))</f>
        <v/>
      </c>
      <c r="F19" s="9" t="n"/>
      <c r="G19" s="10" t="n">
        <v>0.005</v>
      </c>
      <c r="H19" s="9">
        <f>IF(F19="","",ROUND(F19*(G19/30)*(TODAY()-C19),0))</f>
        <v/>
      </c>
      <c r="I19" s="9">
        <f>IF(F19="","",IF(D19&lt;&gt;"",ROUND(F19*(G19/30)*(D19-C19),0),"-"))</f>
        <v/>
      </c>
      <c r="J19" s="9">
        <f>IF(F19="","",SUMIF(R$9:R$40, A19, T$9:T$40))</f>
        <v/>
      </c>
      <c r="K19" s="9">
        <f>IF(F19="","",MAX(0,IF(D19&lt;&gt;"",I19,H19)-J19))</f>
        <v/>
      </c>
      <c r="L19" s="9">
        <f>IF(F19="","",SUMIF(R$9:R$40, A19, U$9:U$40))</f>
        <v/>
      </c>
      <c r="M19" s="9">
        <f>IF(F19="","",MAX(0,F19-L19))</f>
        <v/>
      </c>
      <c r="N19" s="11">
        <f>IF(F19="","",K19+M19)</f>
        <v/>
      </c>
      <c r="O19" s="12">
        <f>IF(F19="","",IF(N19&lt;=0,"PAGADO",IF(D19&lt;&gt;"","PAGADO",IF(E19&gt;30,"PENDIENTE","VIGENTE"))))</f>
        <v/>
      </c>
      <c r="P19" s="49" t="n"/>
      <c r="Q19" s="7" t="n"/>
      <c r="R19" s="13" t="n"/>
      <c r="S19" s="6">
        <f>IF(R19="","",IFERROR(VLOOKUP(R19, A$9:B$28, 2, FALSE), "No existe"))</f>
        <v/>
      </c>
      <c r="T19" s="9" t="n"/>
      <c r="U19" s="9" t="n"/>
      <c r="V19" s="14">
        <f>IF(R19="","",T19+U19)</f>
        <v/>
      </c>
      <c r="W19" s="6" t="n"/>
    </row>
    <row r="20" ht="22.05" customHeight="1" s="32">
      <c r="A20" s="15" t="n">
        <v>12</v>
      </c>
      <c r="B20" s="16" t="n"/>
      <c r="C20" s="17" t="n"/>
      <c r="D20" s="17" t="n"/>
      <c r="E20" s="18">
        <f>IF(C20="","",IF(D20&lt;&gt;"",D20-C20,TODAY()-C20))</f>
        <v/>
      </c>
      <c r="F20" s="19" t="n"/>
      <c r="G20" s="20" t="n">
        <v>0.005</v>
      </c>
      <c r="H20" s="19">
        <f>IF(F20="","",ROUND(F20*(G20/30)*(TODAY()-C20),0))</f>
        <v/>
      </c>
      <c r="I20" s="19">
        <f>IF(F20="","",IF(D20&lt;&gt;"",ROUND(F20*(G20/30)*(D20-C20),0),"-"))</f>
        <v/>
      </c>
      <c r="J20" s="19">
        <f>IF(F20="","",SUMIF(R$9:R$40, A20, T$9:T$40))</f>
        <v/>
      </c>
      <c r="K20" s="19">
        <f>IF(F20="","",MAX(0,IF(D20&lt;&gt;"",I20,H20)-J20))</f>
        <v/>
      </c>
      <c r="L20" s="19">
        <f>IF(F20="","",SUMIF(R$9:R$40, A20, U$9:U$40))</f>
        <v/>
      </c>
      <c r="M20" s="19">
        <f>IF(F20="","",MAX(0,F20-L20))</f>
        <v/>
      </c>
      <c r="N20" s="21">
        <f>IF(F20="","",K20+M20)</f>
        <v/>
      </c>
      <c r="O20" s="22">
        <f>IF(F20="","",IF(N20&lt;=0,"PAGADO",IF(D20&lt;&gt;"","PAGADO",IF(E20&gt;30,"PENDIENTE","VIGENTE"))))</f>
        <v/>
      </c>
      <c r="P20" s="49" t="n"/>
      <c r="Q20" s="17" t="n"/>
      <c r="R20" s="23" t="n"/>
      <c r="S20" s="16">
        <f>IF(R20="","",IFERROR(VLOOKUP(R20, A$9:B$28, 2, FALSE), "No existe"))</f>
        <v/>
      </c>
      <c r="T20" s="19" t="n"/>
      <c r="U20" s="19" t="n"/>
      <c r="V20" s="24">
        <f>IF(R20="","",T20+U20)</f>
        <v/>
      </c>
      <c r="W20" s="16" t="n"/>
    </row>
    <row r="21" ht="22.05" customHeight="1" s="32">
      <c r="A21" s="5" t="n">
        <v>13</v>
      </c>
      <c r="B21" s="6" t="n"/>
      <c r="C21" s="7" t="n"/>
      <c r="D21" s="7" t="n"/>
      <c r="E21" s="8">
        <f>IF(C21="","",IF(D21&lt;&gt;"",D21-C21,TODAY()-C21))</f>
        <v/>
      </c>
      <c r="F21" s="9" t="n"/>
      <c r="G21" s="10" t="n">
        <v>0.005</v>
      </c>
      <c r="H21" s="9">
        <f>IF(F21="","",ROUND(F21*(G21/30)*(TODAY()-C21),0))</f>
        <v/>
      </c>
      <c r="I21" s="9">
        <f>IF(F21="","",IF(D21&lt;&gt;"",ROUND(F21*(G21/30)*(D21-C21),0),"-"))</f>
        <v/>
      </c>
      <c r="J21" s="9">
        <f>IF(F21="","",SUMIF(R$9:R$40, A21, T$9:T$40))</f>
        <v/>
      </c>
      <c r="K21" s="9">
        <f>IF(F21="","",MAX(0,IF(D21&lt;&gt;"",I21,H21)-J21))</f>
        <v/>
      </c>
      <c r="L21" s="9">
        <f>IF(F21="","",SUMIF(R$9:R$40, A21, U$9:U$40))</f>
        <v/>
      </c>
      <c r="M21" s="9">
        <f>IF(F21="","",MAX(0,F21-L21))</f>
        <v/>
      </c>
      <c r="N21" s="11">
        <f>IF(F21="","",K21+M21)</f>
        <v/>
      </c>
      <c r="O21" s="12">
        <f>IF(F21="","",IF(N21&lt;=0,"PAGADO",IF(D21&lt;&gt;"","PAGADO",IF(E21&gt;30,"PENDIENTE","VIGENTE"))))</f>
        <v/>
      </c>
      <c r="P21" s="49" t="n"/>
      <c r="Q21" s="7" t="n"/>
      <c r="R21" s="13" t="n"/>
      <c r="S21" s="6">
        <f>IF(R21="","",IFERROR(VLOOKUP(R21, A$9:B$28, 2, FALSE), "No existe"))</f>
        <v/>
      </c>
      <c r="T21" s="9" t="n"/>
      <c r="U21" s="9" t="n"/>
      <c r="V21" s="14">
        <f>IF(R21="","",T21+U21)</f>
        <v/>
      </c>
      <c r="W21" s="6" t="n"/>
    </row>
    <row r="22" ht="22.05" customHeight="1" s="32">
      <c r="A22" s="15" t="n">
        <v>14</v>
      </c>
      <c r="B22" s="16" t="n"/>
      <c r="C22" s="17" t="n"/>
      <c r="D22" s="17" t="n"/>
      <c r="E22" s="18">
        <f>IF(C22="","",IF(D22&lt;&gt;"",D22-C22,TODAY()-C22))</f>
        <v/>
      </c>
      <c r="F22" s="19" t="n"/>
      <c r="G22" s="20" t="n">
        <v>0.005</v>
      </c>
      <c r="H22" s="19">
        <f>IF(F22="","",ROUND(F22*(G22/30)*(TODAY()-C22),0))</f>
        <v/>
      </c>
      <c r="I22" s="19">
        <f>IF(F22="","",IF(D22&lt;&gt;"",ROUND(F22*(G22/30)*(D22-C22),0),"-"))</f>
        <v/>
      </c>
      <c r="J22" s="19">
        <f>IF(F22="","",SUMIF(R$9:R$40, A22, T$9:T$40))</f>
        <v/>
      </c>
      <c r="K22" s="19">
        <f>IF(F22="","",MAX(0,IF(D22&lt;&gt;"",I22,H22)-J22))</f>
        <v/>
      </c>
      <c r="L22" s="19">
        <f>IF(F22="","",SUMIF(R$9:R$40, A22, U$9:U$40))</f>
        <v/>
      </c>
      <c r="M22" s="19">
        <f>IF(F22="","",MAX(0,F22-L22))</f>
        <v/>
      </c>
      <c r="N22" s="21">
        <f>IF(F22="","",K22+M22)</f>
        <v/>
      </c>
      <c r="O22" s="22">
        <f>IF(F22="","",IF(N22&lt;=0,"PAGADO",IF(D22&lt;&gt;"","PAGADO",IF(E22&gt;30,"PENDIENTE","VIGENTE"))))</f>
        <v/>
      </c>
      <c r="P22" s="49" t="n"/>
      <c r="Q22" s="17" t="n"/>
      <c r="R22" s="23" t="n"/>
      <c r="S22" s="16">
        <f>IF(R22="","",IFERROR(VLOOKUP(R22, A$9:B$28, 2, FALSE), "No existe"))</f>
        <v/>
      </c>
      <c r="T22" s="19" t="n"/>
      <c r="U22" s="19" t="n"/>
      <c r="V22" s="24">
        <f>IF(R22="","",T22+U22)</f>
        <v/>
      </c>
      <c r="W22" s="16" t="n"/>
    </row>
    <row r="23" ht="22.05" customHeight="1" s="32">
      <c r="A23" s="5" t="n">
        <v>15</v>
      </c>
      <c r="B23" s="6" t="n"/>
      <c r="C23" s="7" t="n"/>
      <c r="D23" s="7" t="n"/>
      <c r="E23" s="8">
        <f>IF(C23="","",IF(D23&lt;&gt;"",D23-C23,TODAY()-C23))</f>
        <v/>
      </c>
      <c r="F23" s="9" t="n"/>
      <c r="G23" s="10" t="n">
        <v>0.005</v>
      </c>
      <c r="H23" s="9">
        <f>IF(F23="","",ROUND(F23*(G23/30)*(TODAY()-C23),0))</f>
        <v/>
      </c>
      <c r="I23" s="9">
        <f>IF(F23="","",IF(D23&lt;&gt;"",ROUND(F23*(G23/30)*(D23-C23),0),"-"))</f>
        <v/>
      </c>
      <c r="J23" s="9">
        <f>IF(F23="","",SUMIF(R$9:R$40, A23, T$9:T$40))</f>
        <v/>
      </c>
      <c r="K23" s="9">
        <f>IF(F23="","",MAX(0,IF(D23&lt;&gt;"",I23,H23)-J23))</f>
        <v/>
      </c>
      <c r="L23" s="9">
        <f>IF(F23="","",SUMIF(R$9:R$40, A23, U$9:U$40))</f>
        <v/>
      </c>
      <c r="M23" s="9">
        <f>IF(F23="","",MAX(0,F23-L23))</f>
        <v/>
      </c>
      <c r="N23" s="11">
        <f>IF(F23="","",K23+M23)</f>
        <v/>
      </c>
      <c r="O23" s="12">
        <f>IF(F23="","",IF(N23&lt;=0,"PAGADO",IF(D23&lt;&gt;"","PAGADO",IF(E23&gt;30,"PENDIENTE","VIGENTE"))))</f>
        <v/>
      </c>
      <c r="P23" s="49" t="n"/>
      <c r="Q23" s="7" t="n"/>
      <c r="R23" s="13" t="n"/>
      <c r="S23" s="6">
        <f>IF(R23="","",IFERROR(VLOOKUP(R23, A$9:B$28, 2, FALSE), "No existe"))</f>
        <v/>
      </c>
      <c r="T23" s="9" t="n"/>
      <c r="U23" s="9" t="n"/>
      <c r="V23" s="14">
        <f>IF(R23="","",T23+U23)</f>
        <v/>
      </c>
      <c r="W23" s="6" t="n"/>
    </row>
    <row r="24" ht="22.05" customHeight="1" s="32">
      <c r="A24" s="15" t="n">
        <v>16</v>
      </c>
      <c r="B24" s="16" t="n"/>
      <c r="C24" s="17" t="n"/>
      <c r="D24" s="17" t="n"/>
      <c r="E24" s="18">
        <f>IF(C24="","",IF(D24&lt;&gt;"",D24-C24,TODAY()-C24))</f>
        <v/>
      </c>
      <c r="F24" s="19" t="n"/>
      <c r="G24" s="20" t="n">
        <v>0.005</v>
      </c>
      <c r="H24" s="19">
        <f>IF(F24="","",ROUND(F24*(G24/30)*(TODAY()-C24),0))</f>
        <v/>
      </c>
      <c r="I24" s="19">
        <f>IF(F24="","",IF(D24&lt;&gt;"",ROUND(F24*(G24/30)*(D24-C24),0),"-"))</f>
        <v/>
      </c>
      <c r="J24" s="19">
        <f>IF(F24="","",SUMIF(R$9:R$40, A24, T$9:T$40))</f>
        <v/>
      </c>
      <c r="K24" s="19">
        <f>IF(F24="","",MAX(0,IF(D24&lt;&gt;"",I24,H24)-J24))</f>
        <v/>
      </c>
      <c r="L24" s="19">
        <f>IF(F24="","",SUMIF(R$9:R$40, A24, U$9:U$40))</f>
        <v/>
      </c>
      <c r="M24" s="19">
        <f>IF(F24="","",MAX(0,F24-L24))</f>
        <v/>
      </c>
      <c r="N24" s="21">
        <f>IF(F24="","",K24+M24)</f>
        <v/>
      </c>
      <c r="O24" s="22">
        <f>IF(F24="","",IF(N24&lt;=0,"PAGADO",IF(D24&lt;&gt;"","PAGADO",IF(E24&gt;30,"PENDIENTE","VIGENTE"))))</f>
        <v/>
      </c>
      <c r="P24" s="49" t="n"/>
      <c r="Q24" s="17" t="n"/>
      <c r="R24" s="23" t="n"/>
      <c r="S24" s="16">
        <f>IF(R24="","",IFERROR(VLOOKUP(R24, A$9:B$28, 2, FALSE), "No existe"))</f>
        <v/>
      </c>
      <c r="T24" s="19" t="n"/>
      <c r="U24" s="19" t="n"/>
      <c r="V24" s="24">
        <f>IF(R24="","",T24+U24)</f>
        <v/>
      </c>
      <c r="W24" s="16" t="n"/>
    </row>
    <row r="25" ht="22.05" customHeight="1" s="32">
      <c r="A25" s="5" t="n">
        <v>17</v>
      </c>
      <c r="B25" s="6" t="n"/>
      <c r="C25" s="7" t="n"/>
      <c r="D25" s="7" t="n"/>
      <c r="E25" s="8">
        <f>IF(C25="","",IF(D25&lt;&gt;"",D25-C25,TODAY()-C25))</f>
        <v/>
      </c>
      <c r="F25" s="9" t="n"/>
      <c r="G25" s="10" t="n">
        <v>0.005</v>
      </c>
      <c r="H25" s="9">
        <f>IF(F25="","",ROUND(F25*(G25/30)*(TODAY()-C25),0))</f>
        <v/>
      </c>
      <c r="I25" s="9">
        <f>IF(F25="","",IF(D25&lt;&gt;"",ROUND(F25*(G25/30)*(D25-C25),0),"-"))</f>
        <v/>
      </c>
      <c r="J25" s="9">
        <f>IF(F25="","",SUMIF(R$9:R$40, A25, T$9:T$40))</f>
        <v/>
      </c>
      <c r="K25" s="9">
        <f>IF(F25="","",MAX(0,IF(D25&lt;&gt;"",I25,H25)-J25))</f>
        <v/>
      </c>
      <c r="L25" s="9">
        <f>IF(F25="","",SUMIF(R$9:R$40, A25, U$9:U$40))</f>
        <v/>
      </c>
      <c r="M25" s="9">
        <f>IF(F25="","",MAX(0,F25-L25))</f>
        <v/>
      </c>
      <c r="N25" s="11">
        <f>IF(F25="","",K25+M25)</f>
        <v/>
      </c>
      <c r="O25" s="12">
        <f>IF(F25="","",IF(N25&lt;=0,"PAGADO",IF(D25&lt;&gt;"","PAGADO",IF(E25&gt;30,"PENDIENTE","VIGENTE"))))</f>
        <v/>
      </c>
      <c r="P25" s="49" t="n"/>
      <c r="Q25" s="7" t="n"/>
      <c r="R25" s="13" t="n"/>
      <c r="S25" s="6">
        <f>IF(R25="","",IFERROR(VLOOKUP(R25, A$9:B$28, 2, FALSE), "No existe"))</f>
        <v/>
      </c>
      <c r="T25" s="9" t="n"/>
      <c r="U25" s="9" t="n"/>
      <c r="V25" s="14">
        <f>IF(R25="","",T25+U25)</f>
        <v/>
      </c>
      <c r="W25" s="6" t="n"/>
    </row>
    <row r="26" ht="22.05" customHeight="1" s="32">
      <c r="A26" s="15" t="n">
        <v>18</v>
      </c>
      <c r="B26" s="16" t="n"/>
      <c r="C26" s="17" t="n"/>
      <c r="D26" s="17" t="n"/>
      <c r="E26" s="18">
        <f>IF(C26="","",IF(D26&lt;&gt;"",D26-C26,TODAY()-C26))</f>
        <v/>
      </c>
      <c r="F26" s="19" t="n"/>
      <c r="G26" s="20" t="n">
        <v>0.005</v>
      </c>
      <c r="H26" s="19">
        <f>IF(F26="","",ROUND(F26*(G26/30)*(TODAY()-C26),0))</f>
        <v/>
      </c>
      <c r="I26" s="19">
        <f>IF(F26="","",IF(D26&lt;&gt;"",ROUND(F26*(G26/30)*(D26-C26),0),"-"))</f>
        <v/>
      </c>
      <c r="J26" s="19">
        <f>IF(F26="","",SUMIF(R$9:R$40, A26, T$9:T$40))</f>
        <v/>
      </c>
      <c r="K26" s="19">
        <f>IF(F26="","",MAX(0,IF(D26&lt;&gt;"",I26,H26)-J26))</f>
        <v/>
      </c>
      <c r="L26" s="19">
        <f>IF(F26="","",SUMIF(R$9:R$40, A26, U$9:U$40))</f>
        <v/>
      </c>
      <c r="M26" s="19">
        <f>IF(F26="","",MAX(0,F26-L26))</f>
        <v/>
      </c>
      <c r="N26" s="21">
        <f>IF(F26="","",K26+M26)</f>
        <v/>
      </c>
      <c r="O26" s="22">
        <f>IF(F26="","",IF(N26&lt;=0,"PAGADO",IF(D26&lt;&gt;"","PAGADO",IF(E26&gt;30,"PENDIENTE","VIGENTE"))))</f>
        <v/>
      </c>
      <c r="P26" s="49" t="n"/>
      <c r="Q26" s="17" t="n"/>
      <c r="R26" s="23" t="n"/>
      <c r="S26" s="16">
        <f>IF(R26="","",IFERROR(VLOOKUP(R26, A$9:B$28, 2, FALSE), "No existe"))</f>
        <v/>
      </c>
      <c r="T26" s="19" t="n"/>
      <c r="U26" s="19" t="n"/>
      <c r="V26" s="24">
        <f>IF(R26="","",T26+U26)</f>
        <v/>
      </c>
      <c r="W26" s="16" t="n"/>
    </row>
    <row r="27" ht="22.05" customHeight="1" s="32">
      <c r="A27" s="5" t="n">
        <v>19</v>
      </c>
      <c r="B27" s="6" t="n"/>
      <c r="C27" s="7" t="n"/>
      <c r="D27" s="7" t="n"/>
      <c r="E27" s="8">
        <f>IF(C27="","",IF(D27&lt;&gt;"",D27-C27,TODAY()-C27))</f>
        <v/>
      </c>
      <c r="F27" s="9" t="n"/>
      <c r="G27" s="10" t="n">
        <v>0.005</v>
      </c>
      <c r="H27" s="9">
        <f>IF(F27="","",ROUND(F27*(G27/30)*(TODAY()-C27),0))</f>
        <v/>
      </c>
      <c r="I27" s="9">
        <f>IF(F27="","",IF(D27&lt;&gt;"",ROUND(F27*(G27/30)*(D27-C27),0),"-"))</f>
        <v/>
      </c>
      <c r="J27" s="9">
        <f>IF(F27="","",SUMIF(R$9:R$40, A27, T$9:T$40))</f>
        <v/>
      </c>
      <c r="K27" s="9">
        <f>IF(F27="","",MAX(0,IF(D27&lt;&gt;"",I27,H27)-J27))</f>
        <v/>
      </c>
      <c r="L27" s="9">
        <f>IF(F27="","",SUMIF(R$9:R$40, A27, U$9:U$40))</f>
        <v/>
      </c>
      <c r="M27" s="9">
        <f>IF(F27="","",MAX(0,F27-L27))</f>
        <v/>
      </c>
      <c r="N27" s="11">
        <f>IF(F27="","",K27+M27)</f>
        <v/>
      </c>
      <c r="O27" s="12">
        <f>IF(F27="","",IF(N27&lt;=0,"PAGADO",IF(D27&lt;&gt;"","PAGADO",IF(E27&gt;30,"PENDIENTE","VIGENTE"))))</f>
        <v/>
      </c>
      <c r="P27" s="49" t="n"/>
      <c r="Q27" s="7" t="n"/>
      <c r="R27" s="13" t="n"/>
      <c r="S27" s="6">
        <f>IF(R27="","",IFERROR(VLOOKUP(R27, A$9:B$28, 2, FALSE), "No existe"))</f>
        <v/>
      </c>
      <c r="T27" s="9" t="n"/>
      <c r="U27" s="9" t="n"/>
      <c r="V27" s="14">
        <f>IF(R27="","",T27+U27)</f>
        <v/>
      </c>
      <c r="W27" s="6" t="n"/>
    </row>
    <row r="28" ht="22.05" customHeight="1" s="32">
      <c r="A28" s="15" t="n">
        <v>20</v>
      </c>
      <c r="B28" s="16" t="n"/>
      <c r="C28" s="17" t="n"/>
      <c r="D28" s="17" t="n"/>
      <c r="E28" s="18">
        <f>IF(C28="","",IF(D28&lt;&gt;"",D28-C28,TODAY()-C28))</f>
        <v/>
      </c>
      <c r="F28" s="19" t="n"/>
      <c r="G28" s="20" t="n">
        <v>0.005</v>
      </c>
      <c r="H28" s="19">
        <f>IF(F28="","",ROUND(F28*(G28/30)*(TODAY()-C28),0))</f>
        <v/>
      </c>
      <c r="I28" s="19">
        <f>IF(F28="","",IF(D28&lt;&gt;"",ROUND(F28*(G28/30)*(D28-C28),0),"-"))</f>
        <v/>
      </c>
      <c r="J28" s="19">
        <f>IF(F28="","",SUMIF(R$9:R$40, A28, T$9:T$40))</f>
        <v/>
      </c>
      <c r="K28" s="19">
        <f>IF(F28="","",MAX(0,IF(D28&lt;&gt;"",I28,H28)-J28))</f>
        <v/>
      </c>
      <c r="L28" s="19">
        <f>IF(F28="","",SUMIF(R$9:R$40, A28, U$9:U$40))</f>
        <v/>
      </c>
      <c r="M28" s="19">
        <f>IF(F28="","",MAX(0,F28-L28))</f>
        <v/>
      </c>
      <c r="N28" s="21">
        <f>IF(F28="","",K28+M28)</f>
        <v/>
      </c>
      <c r="O28" s="22">
        <f>IF(F28="","",IF(N28&lt;=0,"PAGADO",IF(D28&lt;&gt;"","PAGADO",IF(E28&gt;30,"PENDIENTE","VIGENTE"))))</f>
        <v/>
      </c>
      <c r="P28" s="49" t="n"/>
      <c r="Q28" s="17" t="n"/>
      <c r="R28" s="23" t="n"/>
      <c r="S28" s="16">
        <f>IF(R28="","",IFERROR(VLOOKUP(R28, A$9:B$28, 2, FALSE), "No existe"))</f>
        <v/>
      </c>
      <c r="T28" s="19" t="n"/>
      <c r="U28" s="19" t="n"/>
      <c r="V28" s="24">
        <f>IF(R28="","",T28+U28)</f>
        <v/>
      </c>
      <c r="W28" s="16" t="n"/>
    </row>
    <row r="29" ht="22.05" customHeight="1" s="32" thickBot="1">
      <c r="A29" s="35" t="inlineStr">
        <is>
          <t>TOTAL GENERAL CRÉDITOS</t>
        </is>
      </c>
      <c r="B29" s="102" t="n"/>
      <c r="C29" s="102" t="n"/>
      <c r="D29" s="102" t="n"/>
      <c r="E29" s="103" t="n"/>
      <c r="F29" s="25">
        <f>SUM(F9:F28)</f>
        <v/>
      </c>
      <c r="G29" s="26" t="n"/>
      <c r="H29" s="25">
        <f>SUM(H9:H28)</f>
        <v/>
      </c>
      <c r="I29" s="25">
        <f>SUM(I9:I28)</f>
        <v/>
      </c>
      <c r="J29" s="25">
        <f>SUM(J9:J28)</f>
        <v/>
      </c>
      <c r="K29" s="25">
        <f>SUM(K9:K28)</f>
        <v/>
      </c>
      <c r="L29" s="25">
        <f>SUM(L9:L28)</f>
        <v/>
      </c>
      <c r="M29" s="25">
        <f>SUM(M9:M28)</f>
        <v/>
      </c>
      <c r="N29" s="25">
        <f>SUM(N9:N28)</f>
        <v/>
      </c>
      <c r="O29" s="26" t="n"/>
      <c r="P29" s="49" t="n"/>
      <c r="Q29" s="7" t="n"/>
      <c r="R29" s="13" t="n"/>
      <c r="S29" s="6">
        <f>IF(R29="","",IFERROR(VLOOKUP(R29, A$9:B$28, 2, FALSE), "No existe"))</f>
        <v/>
      </c>
      <c r="T29" s="9" t="n"/>
      <c r="U29" s="9" t="n"/>
      <c r="V29" s="14">
        <f>IF(R29="","",T29+U29)</f>
        <v/>
      </c>
      <c r="W29" s="6" t="n"/>
    </row>
    <row r="30" ht="22.05" customHeight="1" s="32" thickTop="1">
      <c r="P30" s="49" t="n"/>
      <c r="Q30" s="17" t="n"/>
      <c r="R30" s="23" t="n"/>
      <c r="S30" s="16">
        <f>IF(R30="","",IFERROR(VLOOKUP(R30, A$9:B$28, 2, FALSE), "No existe"))</f>
        <v/>
      </c>
      <c r="T30" s="19" t="n"/>
      <c r="U30" s="19" t="n"/>
      <c r="V30" s="24">
        <f>IF(R30="","",T30+U30)</f>
        <v/>
      </c>
      <c r="W30" s="16" t="n"/>
    </row>
    <row r="31" ht="22.05" customHeight="1" s="32">
      <c r="P31" s="49" t="n"/>
      <c r="Q31" s="7" t="n"/>
      <c r="R31" s="13" t="n"/>
      <c r="S31" s="6">
        <f>IF(R31="","",IFERROR(VLOOKUP(R31, A$9:B$28, 2, FALSE), "No existe"))</f>
        <v/>
      </c>
      <c r="T31" s="9" t="n"/>
      <c r="U31" s="9" t="n"/>
      <c r="V31" s="14">
        <f>IF(R31="","",T31+U31)</f>
        <v/>
      </c>
      <c r="W31" s="6" t="n"/>
    </row>
    <row r="32" ht="22.05" customHeight="1" s="32">
      <c r="P32" s="49" t="n"/>
      <c r="Q32" s="17" t="n"/>
      <c r="R32" s="23" t="n"/>
      <c r="S32" s="16">
        <f>IF(R32="","",IFERROR(VLOOKUP(R32, A$9:B$28, 2, FALSE), "No existe"))</f>
        <v/>
      </c>
      <c r="T32" s="19" t="n"/>
      <c r="U32" s="19" t="n"/>
      <c r="V32" s="24">
        <f>IF(R32="","",T32+U32)</f>
        <v/>
      </c>
      <c r="W32" s="16" t="n"/>
    </row>
    <row r="33" ht="22.05" customHeight="1" s="32">
      <c r="P33" s="49" t="n"/>
      <c r="Q33" s="7" t="n"/>
      <c r="R33" s="13" t="n"/>
      <c r="S33" s="6">
        <f>IF(R33="","",IFERROR(VLOOKUP(R33, A$9:B$28, 2, FALSE), "No existe"))</f>
        <v/>
      </c>
      <c r="T33" s="9" t="n"/>
      <c r="U33" s="9" t="n"/>
      <c r="V33" s="14">
        <f>IF(R33="","",T33+U33)</f>
        <v/>
      </c>
      <c r="W33" s="6" t="n"/>
    </row>
    <row r="34" ht="22.05" customHeight="1" s="32">
      <c r="P34" s="49" t="n"/>
      <c r="Q34" s="17" t="n"/>
      <c r="R34" s="23" t="n"/>
      <c r="S34" s="16">
        <f>IF(R34="","",IFERROR(VLOOKUP(R34, A$9:B$28, 2, FALSE), "No existe"))</f>
        <v/>
      </c>
      <c r="T34" s="19" t="n"/>
      <c r="U34" s="19" t="n"/>
      <c r="V34" s="24">
        <f>IF(R34="","",T34+U34)</f>
        <v/>
      </c>
      <c r="W34" s="16" t="n"/>
    </row>
    <row r="35" ht="22.05" customHeight="1" s="32">
      <c r="P35" s="49" t="n"/>
      <c r="Q35" s="7" t="n"/>
      <c r="R35" s="13" t="n"/>
      <c r="S35" s="6">
        <f>IF(R35="","",IFERROR(VLOOKUP(R35, A$9:B$28, 2, FALSE), "No existe"))</f>
        <v/>
      </c>
      <c r="T35" s="9" t="n"/>
      <c r="U35" s="9" t="n"/>
      <c r="V35" s="14">
        <f>IF(R35="","",T35+U35)</f>
        <v/>
      </c>
      <c r="W35" s="6" t="n"/>
    </row>
    <row r="36" ht="22.05" customHeight="1" s="32">
      <c r="P36" s="49" t="n"/>
      <c r="Q36" s="17" t="n"/>
      <c r="R36" s="23" t="n"/>
      <c r="S36" s="16">
        <f>IF(R36="","",IFERROR(VLOOKUP(R36, A$9:B$28, 2, FALSE), "No existe"))</f>
        <v/>
      </c>
      <c r="T36" s="19" t="n"/>
      <c r="U36" s="19" t="n"/>
      <c r="V36" s="24">
        <f>IF(R36="","",T36+U36)</f>
        <v/>
      </c>
      <c r="W36" s="16" t="n"/>
    </row>
    <row r="37" ht="22.05" customHeight="1" s="32">
      <c r="P37" s="49" t="n"/>
      <c r="Q37" s="7" t="n"/>
      <c r="R37" s="13" t="n"/>
      <c r="S37" s="6">
        <f>IF(R37="","",IFERROR(VLOOKUP(R37, A$9:B$28, 2, FALSE), "No existe"))</f>
        <v/>
      </c>
      <c r="T37" s="9" t="n"/>
      <c r="U37" s="9" t="n"/>
      <c r="V37" s="14">
        <f>IF(R37="","",T37+U37)</f>
        <v/>
      </c>
      <c r="W37" s="6" t="n"/>
    </row>
    <row r="38" ht="22.05" customHeight="1" s="32">
      <c r="P38" s="49" t="n"/>
      <c r="Q38" s="17" t="n"/>
      <c r="R38" s="23" t="n"/>
      <c r="S38" s="16">
        <f>IF(R38="","",IFERROR(VLOOKUP(R38, A$9:B$28, 2, FALSE), "No existe"))</f>
        <v/>
      </c>
      <c r="T38" s="19" t="n"/>
      <c r="U38" s="19" t="n"/>
      <c r="V38" s="24">
        <f>IF(R38="","",T38+U38)</f>
        <v/>
      </c>
      <c r="W38" s="16" t="n"/>
    </row>
    <row r="39" ht="22.05" customHeight="1" s="32">
      <c r="P39" s="49" t="n"/>
      <c r="Q39" s="7" t="n"/>
      <c r="R39" s="13" t="n"/>
      <c r="S39" s="6">
        <f>IF(R39="","",IFERROR(VLOOKUP(R39, A$9:B$28, 2, FALSE), "No existe"))</f>
        <v/>
      </c>
      <c r="T39" s="9" t="n"/>
      <c r="U39" s="9" t="n"/>
      <c r="V39" s="14">
        <f>IF(R39="","",T39+U39)</f>
        <v/>
      </c>
      <c r="W39" s="6" t="n"/>
    </row>
    <row r="40" ht="22.05" customHeight="1" s="32">
      <c r="P40" s="49" t="n"/>
      <c r="Q40" s="17" t="n"/>
      <c r="R40" s="23" t="n"/>
      <c r="S40" s="16">
        <f>IF(R40="","",IFERROR(VLOOKUP(R40, A$9:B$28, 2, FALSE), "No existe"))</f>
        <v/>
      </c>
      <c r="T40" s="19" t="n"/>
      <c r="U40" s="19" t="n"/>
      <c r="V40" s="24">
        <f>IF(R40="","",T40+U40)</f>
        <v/>
      </c>
      <c r="W40" s="16" t="n"/>
    </row>
    <row r="41" ht="28.05" customHeight="1" s="32" thickBot="1">
      <c r="P41" s="49" t="n"/>
      <c r="Q41" s="37" t="inlineStr">
        <is>
          <t>TOTAL ABONOS REGISTRADOS</t>
        </is>
      </c>
      <c r="R41" s="104" t="n"/>
      <c r="S41" s="105" t="n"/>
      <c r="T41" s="27">
        <f>SUM(T9:T40)</f>
        <v/>
      </c>
      <c r="U41" s="27">
        <f>SUM(U9:U40)</f>
        <v/>
      </c>
      <c r="V41" s="27">
        <f>SUM(V9:V40)</f>
        <v/>
      </c>
      <c r="W41" s="28" t="n"/>
    </row>
    <row r="42" ht="15" customHeight="1" s="32" thickTop="1">
      <c r="P42" s="49" t="n"/>
    </row>
    <row r="43">
      <c r="P43" s="49" t="n"/>
    </row>
    <row r="44" ht="25.95" customHeight="1" s="32">
      <c r="A44" s="39" t="inlineStr">
        <is>
          <t>💡 GUÍA DE USO PARA SANTIAGO: CÓMO CONGELAR INTERESES A LA FECHA DE PAGO</t>
        </is>
      </c>
    </row>
    <row r="45" ht="19.95" customHeight="1" s="32">
      <c r="A45" s="29" t="inlineStr">
        <is>
          <t>✔</t>
        </is>
      </c>
      <c r="B45" s="31" t="inlineStr">
        <is>
          <t>1. Casilla 'Fecha Pago / Liquidación' (Columna D): Cuando una persona termine de pagar o liquide el crédito, anotas la fecha exacta en la Columna D. Mientras el crédito siga activo, deja esta casilla vacía.</t>
        </is>
      </c>
    </row>
    <row r="46" ht="19.95" customHeight="1" s="32">
      <c r="A46" s="29" t="inlineStr">
        <is>
          <t>✔</t>
        </is>
      </c>
      <c r="B46" s="31" t="inlineStr">
        <is>
          <t>2. Casilla 'Intereses a Fecha Pago' (Columna I): Al colocar la fecha de pago en la columna D, esta casilla calcula los intereses EXACTOS generados desde la fecha inicial hasta ese día específico, y se CONGELA. Ya no sumará más días ni intereses fantasmas.</t>
        </is>
      </c>
    </row>
    <row r="47" ht="19.95" customHeight="1" s="32">
      <c r="A47" s="29" t="inlineStr">
        <is>
          <t>✔</t>
        </is>
      </c>
      <c r="B47" s="31" t="inlineStr">
        <is>
          <t>3. Casilla 'Intereses a Hoy' (Columna H): Para créditos abiertos (sin fecha de pago), esta casilla sigue corriendo en vivo hasta HOY gracias a la fórmula =HOY(), permitiéndote saber cuánto debe al momento de abrir el archivo.</t>
        </is>
      </c>
    </row>
    <row r="48" ht="19.95" customHeight="1" s="32">
      <c r="A48" s="29" t="inlineStr">
        <is>
          <t>✔</t>
        </is>
      </c>
      <c r="B48" s="31" t="inlineStr">
        <is>
          <t>4. Saldo y Liquidación Definitiva (Columna K): La fórmula del Saldo de Interés detecta automáticamente si el crédito ya se canceló: si tiene fecha de pago, liquida contra los intereses congelados; si está abierto, liquida contra los intereses de hoy.</t>
        </is>
      </c>
    </row>
    <row r="49" ht="19.95" customHeight="1" s="32">
      <c r="A49" s="29" t="inlineStr">
        <is>
          <t>✔</t>
        </is>
      </c>
      <c r="B49" s="31" t="inlineStr">
        <is>
          <t>5. Registro de Múltiples Abonos (Lado Derecho): Todos los abonos parciales (sean 1, 2, 5 o más) se siguen registrando en la tabla derecha (Columnas Q a W) con su fecha y medio de pago, y se suman solos a la izquierda.</t>
        </is>
      </c>
    </row>
  </sheetData>
  <mergeCells count="31">
    <mergeCell ref="S4:T4"/>
    <mergeCell ref="F4:G4"/>
    <mergeCell ref="A7:O7"/>
    <mergeCell ref="A44:W44"/>
    <mergeCell ref="J5:K5"/>
    <mergeCell ref="B49:W49"/>
    <mergeCell ref="H4:I4"/>
    <mergeCell ref="A1:W1"/>
    <mergeCell ref="B45:W45"/>
    <mergeCell ref="Q5:R5"/>
    <mergeCell ref="F5:G5"/>
    <mergeCell ref="Q7:W7"/>
    <mergeCell ref="Q4:R4"/>
    <mergeCell ref="B47:W47"/>
    <mergeCell ref="J4:K4"/>
    <mergeCell ref="U5:W5"/>
    <mergeCell ref="Q41:S41"/>
    <mergeCell ref="B46:W46"/>
    <mergeCell ref="U4:W4"/>
    <mergeCell ref="D4:E4"/>
    <mergeCell ref="A2:W2"/>
    <mergeCell ref="L5:O5"/>
    <mergeCell ref="B48:W48"/>
    <mergeCell ref="A29:E29"/>
    <mergeCell ref="B3:D3"/>
    <mergeCell ref="B5:C5"/>
    <mergeCell ref="S5:T5"/>
    <mergeCell ref="D5:E5"/>
    <mergeCell ref="L4:O4"/>
    <mergeCell ref="H5:I5"/>
    <mergeCell ref="B4:C4"/>
  </mergeCells>
  <conditionalFormatting sqref="O9:O28">
    <cfRule type="cellIs" priority="1" operator="equal" dxfId="2" stopIfTrue="1">
      <formula>"PAGADO"</formula>
    </cfRule>
    <cfRule type="cellIs" priority="2" operator="equal" dxfId="1" stopIfTrue="1">
      <formula>"PENDIENTE"</formula>
    </cfRule>
    <cfRule type="cellIs" priority="3" operator="equal" dxfId="0" stopIfTrue="1">
      <formula>"VIGENTE"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2026-10-02T01:25:48Z</dcterms:created>
  <dcterms:modified xsi:type="dcterms:W3CDTF">2026-10-02T02:57:29Z</dcterms:modified>
  <cp:lastModifiedBy>Santiago Henao</cp:lastModifiedBy>
</cp:coreProperties>
</file>